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60" windowHeight="12860"/>
  </bookViews>
  <sheets>
    <sheet name="半包报价模板" sheetId="1" r:id="rId1"/>
  </sheets>
  <definedNames>
    <definedName name="_xlnm.Print_Area" localSheetId="0">半包报价模板!$A$1:$I$204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<sst xmlns="http://schemas.openxmlformats.org/spreadsheetml/2006/main" count="600" uniqueCount="226">
  <si>
    <t>基础报价明细表</t>
  </si>
  <si>
    <t>客户名称：</t>
  </si>
  <si>
    <t>建筑面积（㎡）：</t>
  </si>
  <si>
    <t>工程地址：</t>
  </si>
  <si>
    <t>编号</t>
  </si>
  <si>
    <t>工程项目</t>
  </si>
  <si>
    <t>单位</t>
  </si>
  <si>
    <t>数量</t>
  </si>
  <si>
    <t>工 程 造 价</t>
  </si>
  <si>
    <t>备       注</t>
  </si>
  <si>
    <t>单价</t>
  </si>
  <si>
    <t>金额</t>
  </si>
  <si>
    <t xml:space="preserve">【一、砌墙工程】 </t>
  </si>
  <si>
    <t>面积（㎡)：</t>
  </si>
  <si>
    <t>周长（m):</t>
  </si>
  <si>
    <t>层高（m):</t>
  </si>
  <si>
    <t>成本</t>
  </si>
  <si>
    <t>内墙顶涂料铲除及打毛处理</t>
  </si>
  <si>
    <r>
      <rPr>
        <sz val="10"/>
        <rFont val="Times New Roman"/>
        <charset val="0"/>
      </rPr>
      <t>M</t>
    </r>
    <r>
      <rPr>
        <vertAlign val="superscript"/>
        <sz val="10"/>
        <rFont val="Times New Roman"/>
        <charset val="0"/>
      </rPr>
      <t>2</t>
    </r>
  </si>
  <si>
    <t xml:space="preserve">1、人工费；
2、垃圾装袋运至小区指定点，如需要运到小区外费用另计。 </t>
  </si>
  <si>
    <t>120墙体拆除</t>
  </si>
  <si>
    <t xml:space="preserve">1、指不违反物业规定的非承重墙；
2、人工费；
3、垃圾装袋运至小区指定点，如需要运到小区外费用另计。 </t>
  </si>
  <si>
    <t>240墙体拆除</t>
  </si>
  <si>
    <t>构造墙切割</t>
  </si>
  <si>
    <t>处</t>
  </si>
  <si>
    <t>横梁剥皮</t>
  </si>
  <si>
    <t>项</t>
  </si>
  <si>
    <t>原有飘窗拆除</t>
  </si>
  <si>
    <t>M</t>
  </si>
  <si>
    <t>1、人工费；
2、垃圾装袋运至小区指定点，如需要运到小区外费用另计。
3、如遇混凝土及钢结构飘窗费用另计</t>
  </si>
  <si>
    <t>敲半墙</t>
  </si>
  <si>
    <t>1、指不违反物业规定的非承重墙；
2、人工费；
3、垃圾装袋运至小区指定点，如需要运到小区外费用另计。
4、如遇轻质砖墙或空斗砖墙，需整体拆墙后，再重新砌墙粉刷，费用另计</t>
  </si>
  <si>
    <t>挖半墙后墙面修补抹灰</t>
  </si>
  <si>
    <t>水泥砂浆粉面抹灰</t>
  </si>
  <si>
    <t>普通地梁浇筑</t>
  </si>
  <si>
    <t>1、强度32.5普通硅酸盐水泥；             
2、瓜子片浇筑； 钢筋植入，打入植筋胶                        
3、现浇地梁高度≥200mm</t>
  </si>
  <si>
    <t>地梁浇筑</t>
  </si>
  <si>
    <t>1、强度32.5普通硅酸盐水泥；             
2、瓜子片浇筑； 钢筋植入，打入植筋胶                        
3、木板支模现浇地梁高度≥200mm</t>
  </si>
  <si>
    <t>快装龙骨隔墙（防水板/干湿区砌墙专用）</t>
  </si>
  <si>
    <t>1、使用快装龙骨+背衬板打底 （免焊龙骨规格34*34）；
2、墙厚≤60mm，工程量按单面立面面积计。</t>
  </si>
  <si>
    <t>快装龙骨隔墙（石膏板饰面/欧松板饰面）</t>
  </si>
  <si>
    <t>1、使用快装龙骨+石膏板 （免焊龙骨规格34*34）
2、墙厚≤80mm，工程量按单面立面面积计。</t>
  </si>
  <si>
    <t>快装龙骨隔墙（欧松板打底+石膏板饰面）</t>
  </si>
  <si>
    <t>1、使用快装龙骨+石膏板+欧松板打底 （免焊龙骨规格34*34）                  
2、墙厚≤100mm，工程量按单面立面面积计。</t>
  </si>
  <si>
    <t>多孔120红砖砌墙</t>
  </si>
  <si>
    <t>1、使用多孔砖，强度32.5普通硅酸盐水泥砂浆砌筑；
2、墙厚≤120mm，工程量按单面立面面积计。4：墙面水泥砂浆抹灰</t>
  </si>
  <si>
    <t>多孔240红砖砌墙</t>
  </si>
  <si>
    <t>1、使用多孔砖，强度32.5普通硅酸盐水泥砂浆砌筑；
2、墙厚≤60mm，工程量按单面立面面积计；
3、墙面水泥砂浆抹灰。</t>
  </si>
  <si>
    <t>砌墙弧形墙造型</t>
  </si>
  <si>
    <t>个</t>
  </si>
  <si>
    <t xml:space="preserve">1、弧形墙人工费； </t>
  </si>
  <si>
    <t>双面石膏板隔墙</t>
  </si>
  <si>
    <t>1、轻钢龙骨基架，间距≤400mm，双面封9.5mm厚纸面石膏板，全封闭不带门窗，墙厚950mm; 
2、石膏板自攻螺丝钉固定，钉帽涂防锈漆，板接缝处填嵌缝石膏，粘帖专用绷带。</t>
  </si>
  <si>
    <t>石膏板隔墙隔音棉</t>
  </si>
  <si>
    <t>1、轻钢龙骨基架，间距≤400mm，双面封9mm厚纸面石膏板，全封闭不带门窗，墙厚120mm; 
2、石膏板自攻螺丝钉固定，钉帽涂防锈漆，板接缝处填嵌缝石膏，粘帖专用绷带；     
3、批腻子和面层装饰另计；               
4、隔断内填充保温隔音材料费用另计；     
5、工程量按单面立面面积计算；           
6、弧形工艺上浮30%。
7、15MM欧松板找平，打底。</t>
  </si>
  <si>
    <t>砖墙门洞过梁</t>
  </si>
  <si>
    <t>混凝土过梁或4号角铁过梁1.0米以内为一个</t>
  </si>
  <si>
    <t>小计：</t>
  </si>
  <si>
    <t>【二、客餐厅工程】</t>
  </si>
  <si>
    <t>门槛石安装</t>
  </si>
  <si>
    <t>水泥黄沙铺贴（不足1米按1米算）</t>
  </si>
  <si>
    <t>石材窗台板铺设</t>
  </si>
  <si>
    <t>1、轻工辅料，宽度≤300mm;                               
2、干性水泥砂浆铺贴，玻璃胶填缝；       
3、不含抛光打蜡。</t>
  </si>
  <si>
    <t>成品保护</t>
  </si>
  <si>
    <t>乙方提供成品保护材料对于施工完成的半成品及成品进行保护。</t>
  </si>
  <si>
    <t>防水</t>
  </si>
  <si>
    <t>地面水性防水涂料（地暖地面要算2遍）</t>
  </si>
  <si>
    <t>1、地面清理，四周防水带，内外角防水贴，淋浴水管根套             
2、一般墙面上返300mm
3、做24小时蓄水试验（甲方验收签字）；                   
4、不包含原地面装饰层拆除；
5、按实际涂刷面积计算工程量。</t>
  </si>
  <si>
    <t>墙面水性防水涂料</t>
  </si>
  <si>
    <t>1、墙面清理，四周防水带，内外角防水贴，淋浴水管根套                 
2、卫生间墙面涂刷2000mm；                     
3、做24小时蓄水试验（甲方验收签字）；                   
4、不包含原地面装饰层拆除；
5、按实际涂刷面积计算工程量。</t>
  </si>
  <si>
    <t>泥工贴砖</t>
  </si>
  <si>
    <t>800*800mm地砖（水泥砂浆粘贴）</t>
  </si>
  <si>
    <t>水泥黄沙铺贴，斜铺、错缝、不规则、走边铺贴费用另计，不含美缝、胶泥。</t>
  </si>
  <si>
    <t>600*1200mm地砖（水泥砂浆粘贴）</t>
  </si>
  <si>
    <t>750*1500mm地砖（水泥砂浆粘贴）</t>
  </si>
  <si>
    <t>900*1800mm地砖（水泥砂浆粘贴）</t>
  </si>
  <si>
    <t>多规格古堡砖（水泥砂浆粘贴）</t>
  </si>
  <si>
    <t>200*200 / 200*400 / 400*400 / 400*600 拼砖
水泥黄沙铺贴，斜铺、错缝、不规则、走边铺贴费用另计，不含美缝、胶泥。</t>
  </si>
  <si>
    <t>木纹砖长条150*900（水泥砂浆粘贴）</t>
  </si>
  <si>
    <t>木纹砖长条200*1200（水泥砂浆粘贴）</t>
  </si>
  <si>
    <t>70*200mm小砖（胶泥粘帖）</t>
  </si>
  <si>
    <t xml:space="preserve">1、轻工辅料，
2、马贝胶泥铺贴； </t>
  </si>
  <si>
    <t>70*300mm小砖（胶泥粘帖）</t>
  </si>
  <si>
    <t>100*100mm小砖（胶泥粘帖）</t>
  </si>
  <si>
    <t>200*200mm小砖（胶泥粘帖）</t>
  </si>
  <si>
    <t>800*800mm墙砖（胶泥粘帖）</t>
  </si>
  <si>
    <t>600*1200mm墙砖（胶泥粘帖）</t>
  </si>
  <si>
    <t>750*1500mm墙砖（胶泥粘帖）</t>
  </si>
  <si>
    <t>900*1800mm墙砖（胶泥粘帖）</t>
  </si>
  <si>
    <t>斜铺/人字贴人工费</t>
  </si>
  <si>
    <t>斜铺/人字贴人工费补差</t>
  </si>
  <si>
    <t>（薄贴）瓷砖增加人工费</t>
  </si>
  <si>
    <t>薄贴人工费补差</t>
  </si>
  <si>
    <t>找平</t>
  </si>
  <si>
    <t>粗找平</t>
  </si>
  <si>
    <t>水泥黄沙瓜子片地暖找平，厚度≤50mm</t>
  </si>
  <si>
    <t>瓜子片豆石精找平</t>
  </si>
  <si>
    <t>水泥黄沙瓜子片豆石精找平（地砖薄贴专用，误差3mm）（厚度3到5cm）</t>
  </si>
  <si>
    <t>半干成品砂浆找平</t>
  </si>
  <si>
    <t>半干砂浆找平（地板找平专用，误差3mm以内）（厚度3到5cm）</t>
  </si>
  <si>
    <t>木工吊顶</t>
  </si>
  <si>
    <t>石膏板吊平顶</t>
  </si>
  <si>
    <t xml:space="preserve">1、轻钢骨架，间距一般为400mm,打孔下膨胀螺栓固定；
2、9.5mm厚纸面石膏板罩面，自攻螺丝钉固定，钉眼点涂防锈漆，石膏板接缝处填嵌石膏，粘帖专用绷带；                         </t>
  </si>
  <si>
    <t>欧松板基层处理</t>
  </si>
  <si>
    <t>千年舟12/15MM欧松板基础打底</t>
  </si>
  <si>
    <t>欧松板基层石膏板饰面</t>
  </si>
  <si>
    <t>1、15MM欧松板找平，打底。
2、9mm厚纸面石膏板罩面，自攻螺丝钉固定，钉眼点涂防锈漆，石膏板接缝处填嵌石膏，粘帖专用绷带；</t>
  </si>
  <si>
    <t>双层石膏板（墙面找平）</t>
  </si>
  <si>
    <t xml:space="preserve">墙面木楔找平                       </t>
  </si>
  <si>
    <t>双层石膏板吊顶（顶面）</t>
  </si>
  <si>
    <t xml:space="preserve">1、轻钢骨架，间距一般为400mm,打孔下膨胀螺栓固定；
2、9.5mm厚纸面石膏板罩面，加欧松板自攻螺丝钉固定，钉眼点涂防锈漆，石膏板接缝处填嵌石膏，粘帖专用绷带；                         </t>
  </si>
  <si>
    <t>石膏板吊斜顶</t>
  </si>
  <si>
    <t>防水石膏板吊平顶</t>
  </si>
  <si>
    <t>石膏板异性造型吊顶</t>
  </si>
  <si>
    <t xml:space="preserve">1、轻钢骨架，间距一般为400mm,打孔下膨胀螺栓固定；
2、9.5mm厚纸面石膏板罩面，自攻螺丝钉固定，钉眼点涂防锈漆，石膏板接缝处填嵌石膏，粘帖专用绷带；  </t>
  </si>
  <si>
    <t>石膏板普通单层边吊（≤300mm）</t>
  </si>
  <si>
    <t xml:space="preserve">1、轻钢骨架，间距一般为400mm,打孔下膨胀螺栓固定；
2、9.5mm厚纸面石膏板罩面，自攻螺丝钉固定，钉眼点涂防锈漆，石膏板接缝处填嵌石膏，粘帖专用绷带；
3、宽度不大于60mm。                          </t>
  </si>
  <si>
    <t>石膏板单级走边（≤200mm）</t>
  </si>
  <si>
    <t>木板基层，石膏板封边，宽度少于20mm</t>
  </si>
  <si>
    <t>石膏板双级走边/双眼皮走边</t>
  </si>
  <si>
    <t>禅翼型材灯线安装</t>
  </si>
  <si>
    <t>吊顶凹槽造型/线型灯</t>
  </si>
  <si>
    <t>留槽工艺</t>
  </si>
  <si>
    <t>反光灯槽吊顶</t>
  </si>
  <si>
    <t>木工板基层，石膏板封边</t>
  </si>
  <si>
    <t>空调出风或回风口框架</t>
  </si>
  <si>
    <t>欧松板框架，龙骨角条固定长度≤2000mm</t>
  </si>
  <si>
    <t>窗帘盒</t>
  </si>
  <si>
    <t>1、优等欧松板做底板与立板，石膏板贴面；
2、宽度≤280mm。</t>
  </si>
  <si>
    <t>石膏板弧形造型（按人工补差）</t>
  </si>
  <si>
    <t>圆弧造型补差人工费</t>
  </si>
  <si>
    <t>电视背景反光灯槽</t>
  </si>
  <si>
    <t>1、15MM欧松板找平，打底。
2、9.5mm厚纸面石膏板罩面，自攻螺丝钉固定，钉眼点涂防锈漆，石膏板接缝处填嵌石膏，粘帖专用绷带；</t>
  </si>
  <si>
    <t>木制地台（一级细木工板）</t>
  </si>
  <si>
    <t>1、松木方或优等细木工板开条做骨架，上铺优等细木工板，抽屉另计；               
2、地板、地毯、石塑等面层铺设另计；     
3、按平面面积计算工程量，高度≤200mm。</t>
  </si>
  <si>
    <t>油漆</t>
  </si>
  <si>
    <t>顶面基层处理</t>
  </si>
  <si>
    <t>1、刷界面剂一遍，批刮腻子三遍，打磨平整；
2、顶面水泥砂浆处理、沙灰墙铲除、原顶面涂层铲除及贴布等费用另计；             
3、原顶面平整度误差超过1.5cm、垂直误差超过1.5cm需找平，费用另计。</t>
  </si>
  <si>
    <t>顶面乳胶漆</t>
  </si>
  <si>
    <t>1、一遍底涂
2、两遍面涂及人工。</t>
  </si>
  <si>
    <t>墙面基层处理</t>
  </si>
  <si>
    <t>1、刷界面剂一遍，批刮腻子三遍，打磨平整；
2、顶面水泥砂浆处理、沙灰墙铲除、原顶面涂层铲除及贴布等费用另计；
3、原顶面平整度误差超过1.5cm、垂直误差超过1.5cm需找平，费用另计。</t>
  </si>
  <si>
    <t>墙面乳胶漆</t>
  </si>
  <si>
    <t>包管</t>
  </si>
  <si>
    <t>包管道（1根）</t>
  </si>
  <si>
    <t>1、成品现浇混凝土或红砖包管，含人工、辅料；
2、未包管部分下水管采用EVA材料保护、专用扎带固定。</t>
  </si>
  <si>
    <t>包管道（2根）</t>
  </si>
  <si>
    <t>包管道（3根）</t>
  </si>
  <si>
    <t>【三、卧室工程】</t>
  </si>
  <si>
    <t>石材窗台板铺设（飘窗）</t>
  </si>
  <si>
    <t>1、轻工辅料，，宽度≤800mm;                               
2、干性水泥砂浆铺贴，玻璃胶填缝；       
3、不含抛光打蜡。</t>
  </si>
  <si>
    <t xml:space="preserve">1、轻钢骨架，间距一般为400mm,打孔下膨胀螺栓固定；                           2、9.5mm厚纸面石膏板罩面，自攻螺丝钉固定，钉眼点涂防锈漆，石膏板接缝处填嵌石膏，粘帖专用绷带；                         </t>
  </si>
  <si>
    <t xml:space="preserve">1、优等欧松板做底板与立板，石膏板贴面；
2、宽度≤280mm；                        </t>
  </si>
  <si>
    <t>【七、阳台工程】</t>
  </si>
  <si>
    <t>1、成品现浇混凝土或红砖包管，含人工、辅料，
2、未包管部分下水管采用EVA材料保护、专用扎带固定</t>
  </si>
  <si>
    <t>【八、厨卫工程】</t>
  </si>
  <si>
    <t>下沉式卫生间地面填充</t>
  </si>
  <si>
    <t>陶粒填充</t>
  </si>
  <si>
    <t>填充后细石砼地面找平</t>
  </si>
  <si>
    <t xml:space="preserve">水泥砂浆找平，厚度≤5cm，放6mm钢筋，间距15cm*15cm   </t>
  </si>
  <si>
    <t>水泥黄沙瓜子片豆石精找平（地砖博贴专用，误差3mm）（厚度3到5cm）</t>
  </si>
  <si>
    <t>下沉式淋浴房工艺</t>
  </si>
  <si>
    <t>壁龛工艺增加</t>
  </si>
  <si>
    <t>人工费</t>
  </si>
  <si>
    <t>顶面基层处理(防水腻子）</t>
  </si>
  <si>
    <t>顶面防水乳胶漆</t>
  </si>
  <si>
    <t>间</t>
  </si>
  <si>
    <t>防水乳胶漆</t>
  </si>
  <si>
    <t>厨房卫生间同步，去掉“下沉式淋浴房工艺”、“壁龛工艺增加”两个工程项</t>
  </si>
  <si>
    <t>【十、油漆工程】</t>
  </si>
  <si>
    <t>3D放样</t>
  </si>
  <si>
    <t>人工费及辅料费</t>
  </si>
  <si>
    <t>PVC常规型阴阳角线</t>
  </si>
  <si>
    <t>1、专业阴阳角线条处理。
2、按外框面积计算</t>
  </si>
  <si>
    <t>吊顶石膏板接缝、干壁钉防锈处理</t>
  </si>
  <si>
    <t>1、接缝纸接石膏板接缝、干壁钉防锈漆处理。
2、按外框面积计算</t>
  </si>
  <si>
    <t>【十一、水电工程】</t>
  </si>
  <si>
    <t>开管线槽</t>
  </si>
  <si>
    <t>1 切割片 垃圾袋。</t>
  </si>
  <si>
    <t>打孔穿线</t>
  </si>
  <si>
    <t>1 人工费 垃圾袋。</t>
  </si>
  <si>
    <t>给水工程（PPR）</t>
  </si>
  <si>
    <t>1、【保利橙色管25直径，壁厚4.2】ppr水管热熔连接；
2、开槽、定位； 
3、冷热水管EVA保温防潮工艺（顶面走向）</t>
  </si>
  <si>
    <t>排水工程（PVC）</t>
  </si>
  <si>
    <t>保利PVC排水管、定位.</t>
  </si>
  <si>
    <t>强电工程（1.5；2.5BV线；4.0Bvr线）</t>
  </si>
  <si>
    <t>【正泰】阻燃电线、86底盒、定位.</t>
  </si>
  <si>
    <t>弱电工程（6类网线，电视线）</t>
  </si>
  <si>
    <t>【正泰】超六类网线、86底盒、定位.</t>
  </si>
  <si>
    <t>风管机/中央空调外机强电穿线</t>
  </si>
  <si>
    <t xml:space="preserve">1、国标单芯铜线 
2、PVC阻燃双色线管开槽铺设安装（4-6平方布线）                                                                                                                                                               </t>
  </si>
  <si>
    <t>智能布线</t>
  </si>
  <si>
    <t>正泰空开更换</t>
  </si>
  <si>
    <t>正泰（含总开、漏电保护器、空开）按外框面积计算</t>
  </si>
  <si>
    <t>施耐德空开更换</t>
  </si>
  <si>
    <t>施耐德m9系列（含总开、漏电保护器、空开）按外框面积计算</t>
  </si>
  <si>
    <t>小热水循环水布管</t>
  </si>
  <si>
    <t>按建筑面积外框计算</t>
  </si>
  <si>
    <t>大热水循环水布管</t>
  </si>
  <si>
    <t>强电箱移位</t>
  </si>
  <si>
    <t>只</t>
  </si>
  <si>
    <t>含PVC管、开槽，敷设人工,含箱子</t>
  </si>
  <si>
    <t>弱电箱移位</t>
  </si>
  <si>
    <t>暗藏花洒预埋</t>
  </si>
  <si>
    <t>套</t>
  </si>
  <si>
    <t>人工费，不含主材、辅材</t>
  </si>
  <si>
    <t>暗藏龙头预埋</t>
  </si>
  <si>
    <t>下水管隔音处理（卫生间、阳台）</t>
  </si>
  <si>
    <t>包管部分下水管采用黄金阻尼片，隔音棉材料保护、专用扎带固定</t>
  </si>
  <si>
    <t>【十二、其他工程】</t>
  </si>
  <si>
    <t>装修建筑垃圾外运</t>
  </si>
  <si>
    <t>车</t>
  </si>
  <si>
    <t>遇物业不负责垃圾外运时，装修所产生的建筑垃圾外运费用。</t>
  </si>
  <si>
    <t>装潢垃圾清理费</t>
  </si>
  <si>
    <t>施工现场的垃圾物业指定堆放处（不含其它材料商产生的垃圾）</t>
  </si>
  <si>
    <t>室内家政服务费</t>
  </si>
  <si>
    <t>完工时对工地进行室内家政服务。</t>
  </si>
  <si>
    <t>【十三、工程汇总】</t>
  </si>
  <si>
    <t>（1）</t>
  </si>
  <si>
    <t>直接费</t>
  </si>
  <si>
    <t>元</t>
  </si>
  <si>
    <r>
      <rPr>
        <sz val="11"/>
        <rFont val="宋体"/>
        <charset val="134"/>
      </rPr>
      <t>（</t>
    </r>
    <r>
      <rPr>
        <sz val="11"/>
        <rFont val="Times New Roman"/>
        <charset val="0"/>
      </rPr>
      <t>2</t>
    </r>
    <r>
      <rPr>
        <sz val="11"/>
        <rFont val="宋体"/>
        <charset val="134"/>
      </rPr>
      <t>）</t>
    </r>
  </si>
  <si>
    <t>管理费</t>
  </si>
  <si>
    <t>管理费统一按工程总价10%计算。</t>
  </si>
  <si>
    <t>（3）</t>
  </si>
  <si>
    <t>总造价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</si>
</sst>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0;[Red]0.00"/>
  </numFmts>
  <fonts count="44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1"/>
      <name val="宋体"/>
      <charset val="134"/>
    </font>
    <font>
      <sz val="12"/>
      <name val="宋体"/>
      <charset val="134"/>
    </font>
    <font>
      <strike/>
      <sz val="12"/>
      <name val="宋体"/>
      <charset val="134"/>
    </font>
    <font>
      <sz val="10"/>
      <name val="Times New Roman"/>
      <charset val="0"/>
    </font>
    <font>
      <sz val="10"/>
      <color indexed="12"/>
      <name val="宋体"/>
      <charset val="134"/>
    </font>
    <font>
      <sz val="10"/>
      <color theme="1"/>
      <name val="宋体"/>
      <charset val="134"/>
    </font>
    <font>
      <b/>
      <sz val="24"/>
      <name val="宋体"/>
      <charset val="134"/>
    </font>
    <font>
      <sz val="10"/>
      <name val="新宋体"/>
      <charset val="134"/>
    </font>
    <font>
      <b/>
      <sz val="10"/>
      <name val="宋体"/>
      <charset val="134"/>
      <scheme val="minor"/>
    </font>
    <font>
      <sz val="24"/>
      <name val="宋体"/>
      <charset val="134"/>
    </font>
    <font>
      <sz val="14"/>
      <name val="宋体"/>
      <charset val="134"/>
    </font>
    <font>
      <sz val="16"/>
      <name val="宋体"/>
      <charset val="134"/>
    </font>
    <font>
      <sz val="10"/>
      <name val="宋体"/>
      <charset val="0"/>
    </font>
    <font>
      <b/>
      <sz val="11"/>
      <color theme="1"/>
      <name val="宋体"/>
      <charset val="134"/>
    </font>
    <font>
      <b/>
      <sz val="10"/>
      <color theme="1"/>
      <name val="宋体"/>
      <charset val="134"/>
    </font>
    <font>
      <b/>
      <sz val="10"/>
      <name val="宋体"/>
      <charset val="134"/>
    </font>
    <font>
      <sz val="9"/>
      <name val="宋体"/>
      <charset val="134"/>
    </font>
    <font>
      <b/>
      <strike/>
      <sz val="10"/>
      <color theme="1"/>
      <name val="宋体"/>
      <charset val="134"/>
    </font>
    <font>
      <strike/>
      <sz val="10"/>
      <name val="宋体"/>
      <charset val="134"/>
    </font>
    <font>
      <strike/>
      <sz val="10"/>
      <color theme="1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Times New Roman"/>
      <charset val="0"/>
    </font>
    <font>
      <vertAlign val="superscript"/>
      <sz val="10"/>
      <name val="Times New Roman"/>
      <charset val="0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7" borderId="32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0" borderId="3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8" borderId="35" applyNumberFormat="0" applyAlignment="0" applyProtection="0">
      <alignment vertical="center"/>
    </xf>
    <xf numFmtId="0" fontId="32" fillId="9" borderId="36" applyNumberFormat="0" applyAlignment="0" applyProtection="0">
      <alignment vertical="center"/>
    </xf>
    <xf numFmtId="0" fontId="33" fillId="9" borderId="35" applyNumberFormat="0" applyAlignment="0" applyProtection="0">
      <alignment vertical="center"/>
    </xf>
    <xf numFmtId="0" fontId="34" fillId="10" borderId="37" applyNumberFormat="0" applyAlignment="0" applyProtection="0">
      <alignment vertical="center"/>
    </xf>
    <xf numFmtId="0" fontId="35" fillId="0" borderId="38" applyNumberFormat="0" applyFill="0" applyAlignment="0" applyProtection="0">
      <alignment vertical="center"/>
    </xf>
    <xf numFmtId="0" fontId="36" fillId="0" borderId="39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" fillId="0" borderId="0"/>
  </cellStyleXfs>
  <cellXfs count="14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/>
    <xf numFmtId="0" fontId="3" fillId="2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 applyProtection="1">
      <alignment vertical="center"/>
    </xf>
    <xf numFmtId="0" fontId="0" fillId="0" borderId="0" xfId="0" applyAlignment="1">
      <alignment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 applyProtection="1">
      <alignment horizontal="left" vertical="center" wrapText="1"/>
      <protection hidden="1"/>
    </xf>
    <xf numFmtId="0" fontId="2" fillId="3" borderId="13" xfId="0" applyFont="1" applyFill="1" applyBorder="1" applyAlignment="1" applyProtection="1">
      <alignment horizontal="left" vertical="center"/>
      <protection hidden="1"/>
    </xf>
    <xf numFmtId="0" fontId="2" fillId="3" borderId="13" xfId="0" applyFont="1" applyFill="1" applyBorder="1" applyAlignment="1" applyProtection="1">
      <alignment horizontal="center" vertical="center"/>
      <protection hidden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10" fillId="0" borderId="12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left" vertical="center"/>
    </xf>
    <xf numFmtId="0" fontId="2" fillId="3" borderId="14" xfId="0" applyFont="1" applyFill="1" applyBorder="1" applyAlignment="1" applyProtection="1">
      <alignment horizontal="left" vertical="center" wrapText="1"/>
      <protection hidden="1"/>
    </xf>
    <xf numFmtId="0" fontId="2" fillId="3" borderId="15" xfId="0" applyFont="1" applyFill="1" applyBorder="1" applyAlignment="1" applyProtection="1">
      <alignment horizontal="left" vertical="center"/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1" fillId="0" borderId="12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vertical="center"/>
    </xf>
    <xf numFmtId="0" fontId="1" fillId="0" borderId="17" xfId="0" applyFont="1" applyFill="1" applyBorder="1" applyAlignment="1">
      <alignment vertical="center"/>
    </xf>
    <xf numFmtId="0" fontId="1" fillId="0" borderId="14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/>
    </xf>
    <xf numFmtId="0" fontId="12" fillId="0" borderId="16" xfId="0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vertical="center"/>
    </xf>
    <xf numFmtId="0" fontId="1" fillId="0" borderId="19" xfId="0" applyFont="1" applyFill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13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/>
    </xf>
    <xf numFmtId="176" fontId="2" fillId="3" borderId="20" xfId="0" applyNumberFormat="1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176" fontId="2" fillId="3" borderId="11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 wrapText="1"/>
    </xf>
    <xf numFmtId="177" fontId="9" fillId="0" borderId="5" xfId="0" applyNumberFormat="1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6" fontId="1" fillId="0" borderId="13" xfId="0" applyNumberFormat="1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left" vertical="center"/>
    </xf>
    <xf numFmtId="0" fontId="2" fillId="3" borderId="23" xfId="0" applyFont="1" applyFill="1" applyBorder="1" applyAlignment="1">
      <alignment horizontal="center" vertical="center"/>
    </xf>
    <xf numFmtId="0" fontId="15" fillId="0" borderId="0" xfId="0" applyFont="1" applyFill="1" applyBorder="1" applyAlignment="1" applyProtection="1">
      <alignment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 applyProtection="1">
      <alignment horizontal="left" vertical="center"/>
      <protection hidden="1"/>
    </xf>
    <xf numFmtId="0" fontId="16" fillId="0" borderId="0" xfId="0" applyFont="1" applyFill="1" applyBorder="1" applyAlignment="1" applyProtection="1">
      <alignment horizontal="center" vertical="center"/>
    </xf>
    <xf numFmtId="0" fontId="9" fillId="0" borderId="22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 applyProtection="1">
      <alignment vertical="center"/>
    </xf>
    <xf numFmtId="0" fontId="9" fillId="0" borderId="22" xfId="0" applyNumberFormat="1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/>
    </xf>
    <xf numFmtId="0" fontId="1" fillId="0" borderId="25" xfId="0" applyFont="1" applyFill="1" applyBorder="1" applyAlignment="1">
      <alignment horizontal="left" vertical="center"/>
    </xf>
    <xf numFmtId="0" fontId="2" fillId="3" borderId="26" xfId="0" applyFont="1" applyFill="1" applyBorder="1" applyAlignment="1" applyProtection="1">
      <alignment horizontal="left" vertical="center"/>
      <protection hidden="1"/>
    </xf>
    <xf numFmtId="0" fontId="17" fillId="4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176" fontId="18" fillId="0" borderId="22" xfId="0" applyNumberFormat="1" applyFont="1" applyFill="1" applyBorder="1" applyAlignment="1">
      <alignment horizontal="left" vertical="center" wrapText="1"/>
    </xf>
    <xf numFmtId="0" fontId="9" fillId="0" borderId="5" xfId="0" applyNumberFormat="1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 applyProtection="1">
      <alignment vertical="center"/>
    </xf>
    <xf numFmtId="0" fontId="16" fillId="4" borderId="0" xfId="0" applyFont="1" applyFill="1" applyBorder="1" applyAlignment="1" applyProtection="1">
      <alignment horizontal="center" vertical="center"/>
    </xf>
    <xf numFmtId="0" fontId="1" fillId="5" borderId="0" xfId="0" applyFont="1" applyFill="1" applyBorder="1" applyAlignment="1" applyProtection="1">
      <alignment vertical="center"/>
    </xf>
    <xf numFmtId="0" fontId="2" fillId="0" borderId="14" xfId="0" applyFont="1" applyFill="1" applyBorder="1" applyAlignment="1" applyProtection="1">
      <alignment horizontal="left" vertical="center" wrapText="1"/>
      <protection hidden="1"/>
    </xf>
    <xf numFmtId="0" fontId="2" fillId="0" borderId="15" xfId="0" applyFont="1" applyFill="1" applyBorder="1" applyAlignment="1" applyProtection="1">
      <alignment horizontal="left" vertical="center"/>
      <protection hidden="1"/>
    </xf>
    <xf numFmtId="0" fontId="2" fillId="0" borderId="15" xfId="0" applyFont="1" applyFill="1" applyBorder="1" applyAlignment="1" applyProtection="1">
      <alignment horizontal="center" vertical="center"/>
      <protection hidden="1"/>
    </xf>
    <xf numFmtId="0" fontId="1" fillId="0" borderId="4" xfId="49" applyFont="1" applyFill="1" applyBorder="1" applyAlignment="1">
      <alignment horizontal="center" vertical="center"/>
    </xf>
    <xf numFmtId="0" fontId="1" fillId="0" borderId="5" xfId="49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 wrapText="1"/>
    </xf>
    <xf numFmtId="176" fontId="1" fillId="0" borderId="5" xfId="49" applyNumberFormat="1" applyFont="1" applyFill="1" applyBorder="1" applyAlignment="1">
      <alignment horizontal="center" vertical="center" wrapText="1"/>
    </xf>
    <xf numFmtId="0" fontId="1" fillId="0" borderId="5" xfId="49" applyFont="1" applyFill="1" applyBorder="1" applyAlignment="1">
      <alignment horizontal="center" vertical="center" wrapText="1"/>
    </xf>
    <xf numFmtId="0" fontId="19" fillId="2" borderId="0" xfId="0" applyFont="1" applyFill="1" applyBorder="1" applyAlignment="1" applyProtection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 applyProtection="1">
      <alignment vertical="center"/>
    </xf>
    <xf numFmtId="0" fontId="20" fillId="2" borderId="0" xfId="0" applyFont="1" applyFill="1" applyBorder="1" applyAlignment="1">
      <alignment vertical="center"/>
    </xf>
    <xf numFmtId="0" fontId="9" fillId="0" borderId="5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26" xfId="0" applyFont="1" applyFill="1" applyBorder="1" applyAlignment="1" applyProtection="1">
      <alignment horizontal="left" vertical="center"/>
      <protection hidden="1"/>
    </xf>
    <xf numFmtId="0" fontId="7" fillId="5" borderId="0" xfId="0" applyFont="1" applyFill="1" applyBorder="1" applyAlignment="1">
      <alignment horizontal="center" vertical="center"/>
    </xf>
    <xf numFmtId="0" fontId="1" fillId="0" borderId="22" xfId="49" applyFont="1" applyFill="1" applyBorder="1" applyAlignment="1">
      <alignment horizontal="left" vertical="center" wrapText="1" shrinkToFit="1"/>
    </xf>
    <xf numFmtId="0" fontId="1" fillId="0" borderId="28" xfId="0" applyFont="1" applyFill="1" applyBorder="1" applyAlignment="1">
      <alignment vertical="center"/>
    </xf>
    <xf numFmtId="0" fontId="1" fillId="0" borderId="22" xfId="0" applyFont="1" applyFill="1" applyBorder="1" applyAlignment="1">
      <alignment horizontal="left" vertical="center" wrapText="1"/>
    </xf>
    <xf numFmtId="178" fontId="1" fillId="0" borderId="22" xfId="49" applyNumberFormat="1" applyFont="1" applyFill="1" applyBorder="1" applyAlignment="1">
      <alignment horizontal="left" vertical="center" wrapText="1"/>
    </xf>
    <xf numFmtId="0" fontId="1" fillId="0" borderId="22" xfId="49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5" xfId="49" applyFont="1" applyFill="1" applyBorder="1" applyAlignment="1">
      <alignment horizontal="left" vertical="center" wrapText="1" shrinkToFit="1"/>
    </xf>
    <xf numFmtId="0" fontId="10" fillId="6" borderId="12" xfId="0" applyFont="1" applyFill="1" applyBorder="1" applyAlignment="1">
      <alignment vertical="center"/>
    </xf>
    <xf numFmtId="49" fontId="22" fillId="6" borderId="13" xfId="0" applyNumberFormat="1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left" vertical="center"/>
    </xf>
    <xf numFmtId="0" fontId="10" fillId="6" borderId="29" xfId="0" applyFont="1" applyFill="1" applyBorder="1" applyAlignment="1">
      <alignment vertical="center"/>
    </xf>
    <xf numFmtId="49" fontId="22" fillId="6" borderId="30" xfId="0" applyNumberFormat="1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 wrapText="1"/>
    </xf>
    <xf numFmtId="0" fontId="2" fillId="6" borderId="30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center" vertical="center" wrapText="1"/>
    </xf>
    <xf numFmtId="0" fontId="22" fillId="6" borderId="13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vertical="center"/>
    </xf>
    <xf numFmtId="176" fontId="1" fillId="6" borderId="13" xfId="0" applyNumberFormat="1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vertical="center"/>
    </xf>
    <xf numFmtId="176" fontId="1" fillId="6" borderId="3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left" vertical="center"/>
    </xf>
    <xf numFmtId="0" fontId="22" fillId="6" borderId="25" xfId="0" applyFont="1" applyFill="1" applyBorder="1" applyAlignment="1">
      <alignment horizontal="left" vertical="center" wrapText="1"/>
    </xf>
    <xf numFmtId="0" fontId="1" fillId="6" borderId="3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3" xfId="49"/>
  </cellStyles>
  <dxfs count="18">
    <dxf>
      <font>
        <u val="none"/>
        <color indexed="1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0</xdr:row>
      <xdr:rowOff>48260</xdr:rowOff>
    </xdr:from>
    <xdr:to>
      <xdr:col>2</xdr:col>
      <xdr:colOff>878205</xdr:colOff>
      <xdr:row>0</xdr:row>
      <xdr:rowOff>580390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0050" y="48260"/>
          <a:ext cx="1221105" cy="5321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O208"/>
  <sheetViews>
    <sheetView tabSelected="1" view="pageBreakPreview" zoomScaleNormal="100" workbookViewId="0">
      <selection activeCell="A1" sqref="A1:I1"/>
    </sheetView>
  </sheetViews>
  <sheetFormatPr defaultColWidth="9" defaultRowHeight="15.95" customHeight="1"/>
  <cols>
    <col min="1" max="1" width="5.625" style="10" customWidth="1"/>
    <col min="2" max="2" width="5.625" style="11" customWidth="1"/>
    <col min="3" max="3" width="20.625" style="12" customWidth="1"/>
    <col min="4" max="4" width="13.4615384615385" style="12" customWidth="1"/>
    <col min="5" max="5" width="12.625" style="13" customWidth="1"/>
    <col min="6" max="6" width="12.625" style="14" customWidth="1"/>
    <col min="7" max="7" width="12.625" style="15" customWidth="1"/>
    <col min="8" max="8" width="12.625" style="14" customWidth="1"/>
    <col min="9" max="9" width="64.1057692307692" style="16" customWidth="1"/>
    <col min="10" max="10" width="9" style="17"/>
    <col min="11" max="11" width="17.25" style="1" customWidth="1"/>
    <col min="12" max="12" width="10.3846153846154" style="1" customWidth="1"/>
    <col min="13" max="13" width="9.5" style="1"/>
    <col min="14" max="249" width="9" style="1"/>
    <col min="250" max="16379" width="9" style="6"/>
    <col min="16380" max="16383" width="9" style="10"/>
    <col min="16384" max="16384" width="9" style="18"/>
  </cols>
  <sheetData>
    <row r="1" s="1" customFormat="1" ht="50" customHeight="1" spans="1:10">
      <c r="A1" s="19" t="s">
        <v>0</v>
      </c>
      <c r="B1" s="20"/>
      <c r="C1" s="20"/>
      <c r="D1" s="20"/>
      <c r="E1" s="20"/>
      <c r="F1" s="20"/>
      <c r="G1" s="20"/>
      <c r="H1" s="20"/>
      <c r="I1" s="74"/>
      <c r="J1" s="17"/>
    </row>
    <row r="2" s="1" customFormat="1" ht="30" customHeight="1" spans="1:10">
      <c r="A2" s="21" t="s">
        <v>1</v>
      </c>
      <c r="B2" s="22"/>
      <c r="C2" s="23"/>
      <c r="D2" s="24"/>
      <c r="E2" s="22" t="s">
        <v>2</v>
      </c>
      <c r="F2" s="22"/>
      <c r="G2" s="22">
        <v>130</v>
      </c>
      <c r="H2" s="22" t="s">
        <v>3</v>
      </c>
      <c r="I2" s="75"/>
      <c r="J2" s="17"/>
    </row>
    <row r="3" s="2" customFormat="1" ht="15" customHeight="1" spans="1:10">
      <c r="A3" s="21" t="s">
        <v>4</v>
      </c>
      <c r="B3" s="22"/>
      <c r="C3" s="25" t="s">
        <v>5</v>
      </c>
      <c r="D3" s="26"/>
      <c r="E3" s="64" t="s">
        <v>6</v>
      </c>
      <c r="F3" s="64" t="s">
        <v>7</v>
      </c>
      <c r="G3" s="65" t="s">
        <v>8</v>
      </c>
      <c r="H3" s="65"/>
      <c r="I3" s="76" t="s">
        <v>9</v>
      </c>
      <c r="J3" s="77"/>
    </row>
    <row r="4" s="2" customFormat="1" ht="15" customHeight="1" spans="1:10">
      <c r="A4" s="27"/>
      <c r="B4" s="28"/>
      <c r="C4" s="25"/>
      <c r="D4" s="26"/>
      <c r="E4" s="66"/>
      <c r="F4" s="66"/>
      <c r="G4" s="66" t="s">
        <v>10</v>
      </c>
      <c r="H4" s="66" t="s">
        <v>11</v>
      </c>
      <c r="I4" s="78"/>
      <c r="J4" s="77"/>
    </row>
    <row r="5" s="3" customFormat="1" ht="25" customHeight="1" spans="1:249">
      <c r="A5" s="29" t="s">
        <v>12</v>
      </c>
      <c r="B5" s="30"/>
      <c r="C5" s="30"/>
      <c r="D5" s="31" t="s">
        <v>13</v>
      </c>
      <c r="E5" s="31"/>
      <c r="F5" s="31" t="s">
        <v>14</v>
      </c>
      <c r="G5" s="31"/>
      <c r="H5" s="31" t="s">
        <v>15</v>
      </c>
      <c r="I5" s="79">
        <v>2.91</v>
      </c>
      <c r="J5" s="80" t="s">
        <v>16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</row>
    <row r="6" s="4" customFormat="1" ht="31" spans="1:249">
      <c r="A6" s="32">
        <v>1</v>
      </c>
      <c r="B6" s="33"/>
      <c r="C6" s="34" t="s">
        <v>17</v>
      </c>
      <c r="D6" s="35"/>
      <c r="E6" s="67" t="s">
        <v>18</v>
      </c>
      <c r="F6" s="68">
        <v>0</v>
      </c>
      <c r="G6" s="69">
        <v>8</v>
      </c>
      <c r="H6" s="68">
        <f t="shared" ref="H6:H24" si="0">F6*G6</f>
        <v>0</v>
      </c>
      <c r="I6" s="81" t="s">
        <v>19</v>
      </c>
      <c r="J6" s="82">
        <v>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</row>
    <row r="7" s="1" customFormat="1" ht="46" spans="1:10">
      <c r="A7" s="32">
        <v>2</v>
      </c>
      <c r="B7" s="33"/>
      <c r="C7" s="34" t="s">
        <v>20</v>
      </c>
      <c r="D7" s="35"/>
      <c r="E7" s="67" t="s">
        <v>18</v>
      </c>
      <c r="F7" s="68">
        <v>0</v>
      </c>
      <c r="G7" s="69">
        <v>62</v>
      </c>
      <c r="H7" s="68">
        <f t="shared" si="0"/>
        <v>0</v>
      </c>
      <c r="I7" s="83" t="s">
        <v>21</v>
      </c>
      <c r="J7" s="84">
        <v>40</v>
      </c>
    </row>
    <row r="8" s="1" customFormat="1" ht="46" spans="1:10">
      <c r="A8" s="32">
        <v>3</v>
      </c>
      <c r="B8" s="33"/>
      <c r="C8" s="34" t="s">
        <v>22</v>
      </c>
      <c r="D8" s="35"/>
      <c r="E8" s="67" t="s">
        <v>18</v>
      </c>
      <c r="F8" s="68">
        <v>0</v>
      </c>
      <c r="G8" s="69">
        <v>72</v>
      </c>
      <c r="H8" s="68">
        <f t="shared" si="0"/>
        <v>0</v>
      </c>
      <c r="I8" s="83" t="s">
        <v>21</v>
      </c>
      <c r="J8" s="84">
        <v>50</v>
      </c>
    </row>
    <row r="9" s="1" customFormat="1" ht="46" spans="1:10">
      <c r="A9" s="32">
        <v>4</v>
      </c>
      <c r="B9" s="33"/>
      <c r="C9" s="34" t="s">
        <v>23</v>
      </c>
      <c r="D9" s="35"/>
      <c r="E9" s="70" t="s">
        <v>24</v>
      </c>
      <c r="F9" s="68">
        <v>0</v>
      </c>
      <c r="G9" s="69">
        <v>1000</v>
      </c>
      <c r="H9" s="68">
        <f t="shared" si="0"/>
        <v>0</v>
      </c>
      <c r="I9" s="83" t="s">
        <v>21</v>
      </c>
      <c r="J9" s="84">
        <v>800</v>
      </c>
    </row>
    <row r="10" s="1" customFormat="1" ht="46" spans="1:10">
      <c r="A10" s="32">
        <v>5</v>
      </c>
      <c r="B10" s="33"/>
      <c r="C10" s="34" t="s">
        <v>25</v>
      </c>
      <c r="D10" s="35"/>
      <c r="E10" s="70" t="s">
        <v>26</v>
      </c>
      <c r="F10" s="68">
        <v>0</v>
      </c>
      <c r="G10" s="69">
        <v>500</v>
      </c>
      <c r="H10" s="68">
        <f t="shared" si="0"/>
        <v>0</v>
      </c>
      <c r="I10" s="83" t="s">
        <v>21</v>
      </c>
      <c r="J10" s="84">
        <v>300</v>
      </c>
    </row>
    <row r="11" s="4" customFormat="1" ht="46" spans="1:249">
      <c r="A11" s="32">
        <v>6</v>
      </c>
      <c r="B11" s="33"/>
      <c r="C11" s="34" t="s">
        <v>27</v>
      </c>
      <c r="D11" s="35"/>
      <c r="E11" s="67" t="s">
        <v>28</v>
      </c>
      <c r="F11" s="68">
        <v>0</v>
      </c>
      <c r="G11" s="69">
        <v>260</v>
      </c>
      <c r="H11" s="68">
        <f t="shared" si="0"/>
        <v>0</v>
      </c>
      <c r="I11" s="81" t="s">
        <v>29</v>
      </c>
      <c r="J11" s="82">
        <v>200</v>
      </c>
      <c r="K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</row>
    <row r="12" s="4" customFormat="1" ht="61" spans="1:249">
      <c r="A12" s="32">
        <v>7</v>
      </c>
      <c r="B12" s="33"/>
      <c r="C12" s="34" t="s">
        <v>30</v>
      </c>
      <c r="D12" s="35"/>
      <c r="E12" s="67" t="s">
        <v>18</v>
      </c>
      <c r="F12" s="68">
        <v>0</v>
      </c>
      <c r="G12" s="69">
        <v>118</v>
      </c>
      <c r="H12" s="68">
        <f t="shared" si="0"/>
        <v>0</v>
      </c>
      <c r="I12" s="83" t="s">
        <v>31</v>
      </c>
      <c r="J12" s="82">
        <v>50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</row>
    <row r="13" s="4" customFormat="1" ht="25" customHeight="1" spans="1:249">
      <c r="A13" s="32">
        <v>8</v>
      </c>
      <c r="B13" s="33"/>
      <c r="C13" s="34" t="s">
        <v>32</v>
      </c>
      <c r="D13" s="35"/>
      <c r="E13" s="67" t="s">
        <v>18</v>
      </c>
      <c r="F13" s="68">
        <v>0</v>
      </c>
      <c r="G13" s="69">
        <v>50</v>
      </c>
      <c r="H13" s="68">
        <f t="shared" si="0"/>
        <v>0</v>
      </c>
      <c r="I13" s="81" t="s">
        <v>33</v>
      </c>
      <c r="J13" s="82">
        <v>30</v>
      </c>
      <c r="K13" s="8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</row>
    <row r="14" s="4" customFormat="1" ht="46" spans="1:249">
      <c r="A14" s="32">
        <v>9</v>
      </c>
      <c r="B14" s="33"/>
      <c r="C14" s="34" t="s">
        <v>34</v>
      </c>
      <c r="D14" s="35"/>
      <c r="E14" s="67" t="s">
        <v>28</v>
      </c>
      <c r="F14" s="71">
        <f>0.41+0.66+0.98+0.94+0.5+0.36</f>
        <v>3.85</v>
      </c>
      <c r="G14" s="71">
        <v>50</v>
      </c>
      <c r="H14" s="68">
        <f t="shared" si="0"/>
        <v>192.5</v>
      </c>
      <c r="I14" s="81" t="s">
        <v>35</v>
      </c>
      <c r="J14" s="82">
        <v>35</v>
      </c>
      <c r="K14" s="8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</row>
    <row r="15" s="4" customFormat="1" ht="46" spans="1:249">
      <c r="A15" s="32">
        <v>10</v>
      </c>
      <c r="B15" s="33"/>
      <c r="C15" s="34" t="s">
        <v>36</v>
      </c>
      <c r="D15" s="35"/>
      <c r="E15" s="67" t="s">
        <v>28</v>
      </c>
      <c r="F15" s="68">
        <v>0</v>
      </c>
      <c r="G15" s="71">
        <v>220</v>
      </c>
      <c r="H15" s="68">
        <f t="shared" si="0"/>
        <v>0</v>
      </c>
      <c r="I15" s="81" t="s">
        <v>37</v>
      </c>
      <c r="J15" s="82">
        <v>160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</row>
    <row r="16" s="4" customFormat="1" ht="31" spans="1:249">
      <c r="A16" s="32">
        <v>11</v>
      </c>
      <c r="B16" s="33"/>
      <c r="C16" s="34" t="s">
        <v>38</v>
      </c>
      <c r="D16" s="35"/>
      <c r="E16" s="67" t="s">
        <v>18</v>
      </c>
      <c r="F16" s="68">
        <v>0</v>
      </c>
      <c r="G16" s="71">
        <v>258</v>
      </c>
      <c r="H16" s="68">
        <f t="shared" si="0"/>
        <v>0</v>
      </c>
      <c r="I16" s="81" t="s">
        <v>39</v>
      </c>
      <c r="J16" s="82">
        <v>160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</row>
    <row r="17" s="4" customFormat="1" ht="31" spans="1:249">
      <c r="A17" s="32">
        <v>12</v>
      </c>
      <c r="B17" s="33"/>
      <c r="C17" s="34" t="s">
        <v>40</v>
      </c>
      <c r="D17" s="35"/>
      <c r="E17" s="67" t="s">
        <v>18</v>
      </c>
      <c r="F17" s="68">
        <v>0</v>
      </c>
      <c r="G17" s="71">
        <v>208</v>
      </c>
      <c r="H17" s="68">
        <f t="shared" si="0"/>
        <v>0</v>
      </c>
      <c r="I17" s="81" t="s">
        <v>41</v>
      </c>
      <c r="J17" s="82">
        <v>125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</row>
    <row r="18" s="4" customFormat="1" ht="31" spans="1:249">
      <c r="A18" s="32">
        <v>13</v>
      </c>
      <c r="B18" s="33"/>
      <c r="C18" s="34" t="s">
        <v>42</v>
      </c>
      <c r="D18" s="35"/>
      <c r="E18" s="67" t="s">
        <v>18</v>
      </c>
      <c r="F18" s="68">
        <v>0</v>
      </c>
      <c r="G18" s="71">
        <v>288</v>
      </c>
      <c r="H18" s="68">
        <f t="shared" si="0"/>
        <v>0</v>
      </c>
      <c r="I18" s="81" t="s">
        <v>43</v>
      </c>
      <c r="J18" s="82">
        <v>185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</row>
    <row r="19" s="4" customFormat="1" ht="31" spans="1:249">
      <c r="A19" s="32">
        <v>14</v>
      </c>
      <c r="B19" s="33"/>
      <c r="C19" s="34" t="s">
        <v>44</v>
      </c>
      <c r="D19" s="35"/>
      <c r="E19" s="67" t="s">
        <v>18</v>
      </c>
      <c r="F19" s="71">
        <f>(0.41+0.66+0.92+0.9+0.36+3.1+1.28+1.51+1.58+1.06+0.38+0.33+0.35+1.88+0.56+0.84+0.38+1.44+0.56+1.58)*I5</f>
        <v>58.4328</v>
      </c>
      <c r="G19" s="71">
        <v>188</v>
      </c>
      <c r="H19" s="68">
        <f t="shared" si="0"/>
        <v>10985.3664</v>
      </c>
      <c r="I19" s="81" t="s">
        <v>45</v>
      </c>
      <c r="J19" s="82">
        <v>128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</row>
    <row r="20" s="4" customFormat="1" ht="46" spans="1:249">
      <c r="A20" s="32">
        <v>15</v>
      </c>
      <c r="B20" s="33"/>
      <c r="C20" s="34" t="s">
        <v>46</v>
      </c>
      <c r="D20" s="35"/>
      <c r="E20" s="67" t="s">
        <v>18</v>
      </c>
      <c r="F20" s="71">
        <f>(0.22)*I5</f>
        <v>0.6402</v>
      </c>
      <c r="G20" s="71">
        <v>288</v>
      </c>
      <c r="H20" s="68">
        <f t="shared" si="0"/>
        <v>184.3776</v>
      </c>
      <c r="I20" s="81" t="s">
        <v>47</v>
      </c>
      <c r="J20" s="82">
        <v>220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</row>
    <row r="21" s="5" customFormat="1" ht="30" customHeight="1" spans="1:249">
      <c r="A21" s="32">
        <v>16</v>
      </c>
      <c r="B21" s="33"/>
      <c r="C21" s="34" t="s">
        <v>48</v>
      </c>
      <c r="D21" s="35"/>
      <c r="E21" s="70" t="s">
        <v>49</v>
      </c>
      <c r="F21" s="71">
        <v>1</v>
      </c>
      <c r="G21" s="71">
        <v>400</v>
      </c>
      <c r="H21" s="68">
        <f t="shared" si="0"/>
        <v>400</v>
      </c>
      <c r="I21" s="81" t="s">
        <v>50</v>
      </c>
      <c r="J21" s="82">
        <v>300</v>
      </c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86"/>
      <c r="BO21" s="86"/>
      <c r="BP21" s="86"/>
      <c r="BQ21" s="86"/>
      <c r="BR21" s="86"/>
      <c r="BS21" s="86"/>
      <c r="BT21" s="86"/>
      <c r="BU21" s="86"/>
      <c r="BV21" s="86"/>
      <c r="BW21" s="86"/>
      <c r="BX21" s="86"/>
      <c r="BY21" s="86"/>
      <c r="BZ21" s="86"/>
      <c r="CA21" s="86"/>
      <c r="CB21" s="86"/>
      <c r="CC21" s="86"/>
      <c r="CD21" s="86"/>
      <c r="CE21" s="86"/>
      <c r="CF21" s="86"/>
      <c r="CG21" s="86"/>
      <c r="CH21" s="86"/>
      <c r="CI21" s="86"/>
      <c r="CJ21" s="86"/>
      <c r="CK21" s="86"/>
      <c r="CL21" s="86"/>
      <c r="CM21" s="86"/>
      <c r="CN21" s="86"/>
      <c r="CO21" s="86"/>
      <c r="CP21" s="86"/>
      <c r="CQ21" s="86"/>
      <c r="CR21" s="86"/>
      <c r="CS21" s="86"/>
      <c r="CT21" s="86"/>
      <c r="CU21" s="86"/>
      <c r="CV21" s="86"/>
      <c r="CW21" s="86"/>
      <c r="CX21" s="86"/>
      <c r="CY21" s="86"/>
      <c r="CZ21" s="86"/>
      <c r="DA21" s="86"/>
      <c r="DB21" s="86"/>
      <c r="DC21" s="86"/>
      <c r="DD21" s="86"/>
      <c r="DE21" s="86"/>
      <c r="DF21" s="86"/>
      <c r="DG21" s="86"/>
      <c r="DH21" s="86"/>
      <c r="DI21" s="86"/>
      <c r="DJ21" s="86"/>
      <c r="DK21" s="86"/>
      <c r="DL21" s="86"/>
      <c r="DM21" s="86"/>
      <c r="DN21" s="86"/>
      <c r="DO21" s="86"/>
      <c r="DP21" s="86"/>
      <c r="DQ21" s="86"/>
      <c r="DR21" s="86"/>
      <c r="DS21" s="86"/>
      <c r="DT21" s="86"/>
      <c r="DU21" s="86"/>
      <c r="DV21" s="86"/>
      <c r="DW21" s="86"/>
      <c r="DX21" s="86"/>
      <c r="DY21" s="86"/>
      <c r="DZ21" s="86"/>
      <c r="EA21" s="86"/>
      <c r="EB21" s="86"/>
      <c r="EC21" s="86"/>
      <c r="ED21" s="86"/>
      <c r="EE21" s="86"/>
      <c r="EF21" s="86"/>
      <c r="EG21" s="86"/>
      <c r="EH21" s="86"/>
      <c r="EI21" s="86"/>
      <c r="EJ21" s="86"/>
      <c r="EK21" s="86"/>
      <c r="EL21" s="86"/>
      <c r="EM21" s="86"/>
      <c r="EN21" s="86"/>
      <c r="EO21" s="86"/>
      <c r="EP21" s="86"/>
      <c r="EQ21" s="86"/>
      <c r="ER21" s="86"/>
      <c r="ES21" s="86"/>
      <c r="ET21" s="86"/>
      <c r="EU21" s="86"/>
      <c r="EV21" s="86"/>
      <c r="EW21" s="86"/>
      <c r="EX21" s="86"/>
      <c r="EY21" s="86"/>
      <c r="EZ21" s="86"/>
      <c r="FA21" s="86"/>
      <c r="FB21" s="86"/>
      <c r="FC21" s="86"/>
      <c r="FD21" s="86"/>
      <c r="FE21" s="86"/>
      <c r="FF21" s="86"/>
      <c r="FG21" s="86"/>
      <c r="FH21" s="86"/>
      <c r="FI21" s="86"/>
      <c r="FJ21" s="86"/>
      <c r="FK21" s="86"/>
      <c r="FL21" s="86"/>
      <c r="FM21" s="86"/>
      <c r="FN21" s="86"/>
      <c r="FO21" s="86"/>
      <c r="FP21" s="86"/>
      <c r="FQ21" s="86"/>
      <c r="FR21" s="86"/>
      <c r="FS21" s="86"/>
      <c r="FT21" s="86"/>
      <c r="FU21" s="86"/>
      <c r="FV21" s="86"/>
      <c r="FW21" s="86"/>
      <c r="FX21" s="86"/>
      <c r="FY21" s="86"/>
      <c r="FZ21" s="86"/>
      <c r="GA21" s="86"/>
      <c r="GB21" s="86"/>
      <c r="GC21" s="86"/>
      <c r="GD21" s="86"/>
      <c r="GE21" s="86"/>
      <c r="GF21" s="86"/>
      <c r="GG21" s="86"/>
      <c r="GH21" s="86"/>
      <c r="GI21" s="86"/>
      <c r="GJ21" s="86"/>
      <c r="GK21" s="86"/>
      <c r="GL21" s="86"/>
      <c r="GM21" s="86"/>
      <c r="GN21" s="86"/>
      <c r="GO21" s="86"/>
      <c r="GP21" s="86"/>
      <c r="GQ21" s="86"/>
      <c r="GR21" s="86"/>
      <c r="GS21" s="86"/>
      <c r="GT21" s="86"/>
      <c r="GU21" s="86"/>
      <c r="GV21" s="86"/>
      <c r="GW21" s="86"/>
      <c r="GX21" s="86"/>
      <c r="GY21" s="86"/>
      <c r="GZ21" s="86"/>
      <c r="HA21" s="86"/>
      <c r="HB21" s="86"/>
      <c r="HC21" s="86"/>
      <c r="HD21" s="86"/>
      <c r="HE21" s="86"/>
      <c r="HF21" s="86"/>
      <c r="HG21" s="86"/>
      <c r="HH21" s="86"/>
      <c r="HI21" s="86"/>
      <c r="HJ21" s="86"/>
      <c r="HK21" s="86"/>
      <c r="HL21" s="86"/>
      <c r="HM21" s="86"/>
      <c r="HN21" s="86"/>
      <c r="HO21" s="86"/>
      <c r="HP21" s="86"/>
      <c r="HQ21" s="86"/>
      <c r="HR21" s="86"/>
      <c r="HS21" s="86"/>
      <c r="HT21" s="86"/>
      <c r="HU21" s="86"/>
      <c r="HV21" s="86"/>
      <c r="HW21" s="86"/>
      <c r="HX21" s="86"/>
      <c r="HY21" s="86"/>
      <c r="HZ21" s="86"/>
      <c r="IA21" s="86"/>
      <c r="IB21" s="86"/>
      <c r="IC21" s="86"/>
      <c r="ID21" s="86"/>
      <c r="IE21" s="86"/>
      <c r="IF21" s="86"/>
      <c r="IG21" s="86"/>
      <c r="IH21" s="86"/>
      <c r="II21" s="86"/>
      <c r="IJ21" s="86"/>
      <c r="IK21" s="86"/>
      <c r="IL21" s="86"/>
      <c r="IM21" s="86"/>
      <c r="IN21" s="86"/>
      <c r="IO21" s="86"/>
    </row>
    <row r="22" s="4" customFormat="1" ht="61" spans="1:249">
      <c r="A22" s="32">
        <v>17</v>
      </c>
      <c r="B22" s="33"/>
      <c r="C22" s="34" t="s">
        <v>51</v>
      </c>
      <c r="D22" s="35"/>
      <c r="E22" s="67" t="s">
        <v>18</v>
      </c>
      <c r="F22" s="71">
        <f>(0.33+0.21+0.26+0.66)*2.41</f>
        <v>3.5186</v>
      </c>
      <c r="G22" s="71">
        <v>138</v>
      </c>
      <c r="H22" s="68">
        <f t="shared" si="0"/>
        <v>485.5668</v>
      </c>
      <c r="I22" s="81" t="s">
        <v>52</v>
      </c>
      <c r="J22" s="82">
        <v>90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</row>
    <row r="23" s="4" customFormat="1" ht="137" spans="1:249">
      <c r="A23" s="32">
        <v>18</v>
      </c>
      <c r="B23" s="33"/>
      <c r="C23" s="34" t="s">
        <v>53</v>
      </c>
      <c r="D23" s="35"/>
      <c r="E23" s="67" t="s">
        <v>18</v>
      </c>
      <c r="F23" s="71">
        <f>SUM(F22)</f>
        <v>3.5186</v>
      </c>
      <c r="G23" s="71">
        <v>30</v>
      </c>
      <c r="H23" s="68">
        <f t="shared" si="0"/>
        <v>105.558</v>
      </c>
      <c r="I23" s="81" t="s">
        <v>54</v>
      </c>
      <c r="J23" s="82">
        <v>20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</row>
    <row r="24" s="4" customFormat="1" ht="25" customHeight="1" spans="1:249">
      <c r="A24" s="32">
        <v>20</v>
      </c>
      <c r="B24" s="33"/>
      <c r="C24" s="34" t="s">
        <v>55</v>
      </c>
      <c r="D24" s="35"/>
      <c r="E24" s="72" t="s">
        <v>49</v>
      </c>
      <c r="F24" s="71">
        <v>5</v>
      </c>
      <c r="G24" s="71">
        <v>100</v>
      </c>
      <c r="H24" s="68">
        <f t="shared" si="0"/>
        <v>500</v>
      </c>
      <c r="I24" s="81" t="s">
        <v>56</v>
      </c>
      <c r="J24" s="82">
        <v>60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</row>
    <row r="25" ht="25" customHeight="1" spans="1:10">
      <c r="A25" s="36" t="s">
        <v>57</v>
      </c>
      <c r="B25" s="37"/>
      <c r="C25" s="38"/>
      <c r="D25" s="38"/>
      <c r="E25" s="37"/>
      <c r="F25" s="37"/>
      <c r="G25" s="37"/>
      <c r="H25" s="73">
        <f>SUM(H6:H24)</f>
        <v>12853.3688</v>
      </c>
      <c r="I25" s="87"/>
      <c r="J25" s="82"/>
    </row>
    <row r="26" s="3" customFormat="1" ht="25" customHeight="1" spans="1:249">
      <c r="A26" s="39" t="s">
        <v>58</v>
      </c>
      <c r="B26" s="40"/>
      <c r="C26" s="40"/>
      <c r="D26" s="41" t="s">
        <v>13</v>
      </c>
      <c r="E26" s="41">
        <v>50</v>
      </c>
      <c r="F26" s="41" t="s">
        <v>14</v>
      </c>
      <c r="G26" s="41">
        <v>40</v>
      </c>
      <c r="H26" s="41" t="s">
        <v>15</v>
      </c>
      <c r="I26" s="88">
        <v>2.8</v>
      </c>
      <c r="J26" s="89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</row>
    <row r="27" s="4" customFormat="1" ht="25" customHeight="1" spans="1:249">
      <c r="A27" s="42"/>
      <c r="B27" s="43"/>
      <c r="C27" s="34" t="s">
        <v>59</v>
      </c>
      <c r="D27" s="35"/>
      <c r="E27" s="67" t="s">
        <v>28</v>
      </c>
      <c r="F27" s="71"/>
      <c r="G27" s="71">
        <v>100</v>
      </c>
      <c r="H27" s="71">
        <f t="shared" ref="H27:H78" si="1">F27*G27</f>
        <v>0</v>
      </c>
      <c r="I27" s="83" t="s">
        <v>60</v>
      </c>
      <c r="J27" s="82">
        <v>100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</row>
    <row r="28" s="4" customFormat="1" ht="46" customHeight="1" spans="1:249">
      <c r="A28" s="42"/>
      <c r="B28" s="43"/>
      <c r="C28" s="34" t="s">
        <v>61</v>
      </c>
      <c r="D28" s="35"/>
      <c r="E28" s="67" t="s">
        <v>28</v>
      </c>
      <c r="F28" s="71"/>
      <c r="G28" s="71">
        <v>100</v>
      </c>
      <c r="H28" s="71">
        <f t="shared" si="1"/>
        <v>0</v>
      </c>
      <c r="I28" s="83" t="s">
        <v>62</v>
      </c>
      <c r="J28" s="82">
        <v>80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</row>
    <row r="29" s="4" customFormat="1" ht="34.4" spans="1:249">
      <c r="A29" s="44"/>
      <c r="B29" s="45"/>
      <c r="C29" s="34" t="s">
        <v>63</v>
      </c>
      <c r="D29" s="35"/>
      <c r="E29" s="67" t="s">
        <v>18</v>
      </c>
      <c r="F29" s="71">
        <f>SUM(E26)</f>
        <v>50</v>
      </c>
      <c r="G29" s="71">
        <v>12</v>
      </c>
      <c r="H29" s="71">
        <f t="shared" si="1"/>
        <v>600</v>
      </c>
      <c r="I29" s="81" t="s">
        <v>64</v>
      </c>
      <c r="J29" s="82">
        <v>12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</row>
    <row r="30" s="4" customFormat="1" ht="76" spans="1:249">
      <c r="A30" s="44" t="s">
        <v>65</v>
      </c>
      <c r="B30" s="45"/>
      <c r="C30" s="34" t="s">
        <v>66</v>
      </c>
      <c r="D30" s="35"/>
      <c r="E30" s="67" t="s">
        <v>18</v>
      </c>
      <c r="F30" s="68">
        <v>0</v>
      </c>
      <c r="G30" s="71">
        <v>65</v>
      </c>
      <c r="H30" s="71">
        <f t="shared" si="1"/>
        <v>0</v>
      </c>
      <c r="I30" s="83" t="s">
        <v>67</v>
      </c>
      <c r="J30" s="82">
        <v>35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</row>
    <row r="31" s="4" customFormat="1" ht="76" spans="1:249">
      <c r="A31" s="46"/>
      <c r="B31" s="47"/>
      <c r="C31" s="34" t="s">
        <v>68</v>
      </c>
      <c r="D31" s="35"/>
      <c r="E31" s="67" t="s">
        <v>18</v>
      </c>
      <c r="F31" s="68">
        <v>0</v>
      </c>
      <c r="G31" s="71">
        <v>65</v>
      </c>
      <c r="H31" s="71">
        <f t="shared" si="1"/>
        <v>0</v>
      </c>
      <c r="I31" s="83" t="s">
        <v>69</v>
      </c>
      <c r="J31" s="82">
        <v>35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</row>
    <row r="32" s="4" customFormat="1" ht="31" spans="1:249">
      <c r="A32" s="48" t="s">
        <v>70</v>
      </c>
      <c r="B32" s="49"/>
      <c r="C32" s="34" t="s">
        <v>71</v>
      </c>
      <c r="D32" s="35"/>
      <c r="E32" s="67" t="s">
        <v>18</v>
      </c>
      <c r="F32" s="68">
        <v>0</v>
      </c>
      <c r="G32" s="71">
        <v>150</v>
      </c>
      <c r="H32" s="71">
        <f t="shared" si="1"/>
        <v>0</v>
      </c>
      <c r="I32" s="83" t="s">
        <v>72</v>
      </c>
      <c r="J32" s="82">
        <v>90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</row>
    <row r="33" s="4" customFormat="1" ht="31" spans="1:249">
      <c r="A33" s="50"/>
      <c r="B33" s="51"/>
      <c r="C33" s="34" t="s">
        <v>73</v>
      </c>
      <c r="D33" s="35"/>
      <c r="E33" s="67" t="s">
        <v>18</v>
      </c>
      <c r="F33" s="71">
        <f>E26</f>
        <v>50</v>
      </c>
      <c r="G33" s="71">
        <v>160</v>
      </c>
      <c r="H33" s="71">
        <f t="shared" si="1"/>
        <v>8000</v>
      </c>
      <c r="I33" s="83" t="s">
        <v>72</v>
      </c>
      <c r="J33" s="82">
        <v>100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</row>
    <row r="34" s="4" customFormat="1" ht="31" spans="1:249">
      <c r="A34" s="50"/>
      <c r="B34" s="51"/>
      <c r="C34" s="52" t="s">
        <v>74</v>
      </c>
      <c r="D34" s="53"/>
      <c r="E34" s="67" t="s">
        <v>18</v>
      </c>
      <c r="F34" s="68">
        <v>0</v>
      </c>
      <c r="G34" s="71">
        <v>170</v>
      </c>
      <c r="H34" s="71">
        <f t="shared" si="1"/>
        <v>0</v>
      </c>
      <c r="I34" s="83" t="s">
        <v>72</v>
      </c>
      <c r="J34" s="82">
        <v>105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</row>
    <row r="35" s="4" customFormat="1" ht="31" spans="1:249">
      <c r="A35" s="50"/>
      <c r="B35" s="51"/>
      <c r="C35" s="52" t="s">
        <v>75</v>
      </c>
      <c r="D35" s="53"/>
      <c r="E35" s="67" t="s">
        <v>18</v>
      </c>
      <c r="F35" s="68">
        <v>0</v>
      </c>
      <c r="G35" s="71">
        <v>200</v>
      </c>
      <c r="H35" s="71">
        <f t="shared" si="1"/>
        <v>0</v>
      </c>
      <c r="I35" s="83" t="s">
        <v>72</v>
      </c>
      <c r="J35" s="82">
        <v>120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</row>
    <row r="36" s="4" customFormat="1" ht="46" spans="1:249">
      <c r="A36" s="50"/>
      <c r="B36" s="51"/>
      <c r="C36" s="52" t="s">
        <v>76</v>
      </c>
      <c r="D36" s="53"/>
      <c r="E36" s="67" t="s">
        <v>18</v>
      </c>
      <c r="F36" s="68">
        <v>0</v>
      </c>
      <c r="G36" s="71">
        <v>185</v>
      </c>
      <c r="H36" s="71">
        <f t="shared" si="1"/>
        <v>0</v>
      </c>
      <c r="I36" s="83" t="s">
        <v>77</v>
      </c>
      <c r="J36" s="90">
        <v>115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</row>
    <row r="37" s="4" customFormat="1" ht="31" spans="1:249">
      <c r="A37" s="50"/>
      <c r="B37" s="51"/>
      <c r="C37" s="52" t="s">
        <v>78</v>
      </c>
      <c r="D37" s="53"/>
      <c r="E37" s="67" t="s">
        <v>18</v>
      </c>
      <c r="F37" s="68">
        <v>0</v>
      </c>
      <c r="G37" s="71">
        <v>195</v>
      </c>
      <c r="H37" s="71">
        <f t="shared" si="1"/>
        <v>0</v>
      </c>
      <c r="I37" s="83" t="s">
        <v>72</v>
      </c>
      <c r="J37" s="90">
        <v>120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</row>
    <row r="38" s="4" customFormat="1" ht="31" spans="1:249">
      <c r="A38" s="50"/>
      <c r="B38" s="51"/>
      <c r="C38" s="52" t="s">
        <v>79</v>
      </c>
      <c r="D38" s="53"/>
      <c r="E38" s="67" t="s">
        <v>18</v>
      </c>
      <c r="F38" s="68">
        <v>0</v>
      </c>
      <c r="G38" s="71">
        <v>190</v>
      </c>
      <c r="H38" s="71">
        <f t="shared" si="1"/>
        <v>0</v>
      </c>
      <c r="I38" s="83" t="s">
        <v>72</v>
      </c>
      <c r="J38" s="90">
        <v>120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</row>
    <row r="39" s="4" customFormat="1" ht="31" spans="1:249">
      <c r="A39" s="50"/>
      <c r="B39" s="51"/>
      <c r="C39" s="52" t="s">
        <v>80</v>
      </c>
      <c r="D39" s="53"/>
      <c r="E39" s="67" t="s">
        <v>18</v>
      </c>
      <c r="F39" s="68">
        <v>0</v>
      </c>
      <c r="G39" s="71">
        <v>200</v>
      </c>
      <c r="H39" s="71">
        <f t="shared" si="1"/>
        <v>0</v>
      </c>
      <c r="I39" s="81" t="s">
        <v>81</v>
      </c>
      <c r="J39" s="90">
        <v>140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</row>
    <row r="40" s="4" customFormat="1" ht="31" spans="1:249">
      <c r="A40" s="50"/>
      <c r="B40" s="51"/>
      <c r="C40" s="52" t="s">
        <v>82</v>
      </c>
      <c r="D40" s="53"/>
      <c r="E40" s="67" t="s">
        <v>18</v>
      </c>
      <c r="F40" s="68">
        <v>0</v>
      </c>
      <c r="G40" s="71">
        <v>200</v>
      </c>
      <c r="H40" s="71">
        <f t="shared" si="1"/>
        <v>0</v>
      </c>
      <c r="I40" s="81" t="s">
        <v>81</v>
      </c>
      <c r="J40" s="90">
        <v>140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</row>
    <row r="41" s="4" customFormat="1" ht="31" spans="1:249">
      <c r="A41" s="50"/>
      <c r="B41" s="51"/>
      <c r="C41" s="52" t="s">
        <v>83</v>
      </c>
      <c r="D41" s="53"/>
      <c r="E41" s="67" t="s">
        <v>18</v>
      </c>
      <c r="F41" s="68">
        <v>0</v>
      </c>
      <c r="G41" s="71">
        <v>200</v>
      </c>
      <c r="H41" s="71">
        <f t="shared" si="1"/>
        <v>0</v>
      </c>
      <c r="I41" s="81" t="s">
        <v>81</v>
      </c>
      <c r="J41" s="90">
        <v>140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</row>
    <row r="42" s="4" customFormat="1" ht="31" spans="1:249">
      <c r="A42" s="50"/>
      <c r="B42" s="51"/>
      <c r="C42" s="52" t="s">
        <v>84</v>
      </c>
      <c r="D42" s="53"/>
      <c r="E42" s="67" t="s">
        <v>18</v>
      </c>
      <c r="F42" s="68">
        <v>0</v>
      </c>
      <c r="G42" s="71">
        <v>180</v>
      </c>
      <c r="H42" s="71">
        <f t="shared" si="1"/>
        <v>0</v>
      </c>
      <c r="I42" s="81" t="s">
        <v>81</v>
      </c>
      <c r="J42" s="90">
        <v>110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</row>
    <row r="43" s="4" customFormat="1" ht="31" spans="1:249">
      <c r="A43" s="50"/>
      <c r="B43" s="51"/>
      <c r="C43" s="34" t="s">
        <v>85</v>
      </c>
      <c r="D43" s="35"/>
      <c r="E43" s="67" t="s">
        <v>18</v>
      </c>
      <c r="F43" s="68">
        <v>0</v>
      </c>
      <c r="G43" s="71">
        <v>160</v>
      </c>
      <c r="H43" s="71">
        <f t="shared" si="1"/>
        <v>0</v>
      </c>
      <c r="I43" s="81" t="s">
        <v>81</v>
      </c>
      <c r="J43" s="82">
        <v>100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</row>
    <row r="44" s="4" customFormat="1" ht="31" spans="1:249">
      <c r="A44" s="50"/>
      <c r="B44" s="51"/>
      <c r="C44" s="52" t="s">
        <v>86</v>
      </c>
      <c r="D44" s="53"/>
      <c r="E44" s="67" t="s">
        <v>18</v>
      </c>
      <c r="F44" s="68">
        <v>0</v>
      </c>
      <c r="G44" s="71">
        <v>170</v>
      </c>
      <c r="H44" s="71">
        <f t="shared" si="1"/>
        <v>0</v>
      </c>
      <c r="I44" s="81" t="s">
        <v>81</v>
      </c>
      <c r="J44" s="82">
        <v>105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</row>
    <row r="45" s="4" customFormat="1" ht="31" spans="1:249">
      <c r="A45" s="50"/>
      <c r="B45" s="51"/>
      <c r="C45" s="52" t="s">
        <v>87</v>
      </c>
      <c r="D45" s="53"/>
      <c r="E45" s="67" t="s">
        <v>18</v>
      </c>
      <c r="F45" s="68">
        <v>0</v>
      </c>
      <c r="G45" s="71">
        <v>180</v>
      </c>
      <c r="H45" s="71">
        <f t="shared" si="1"/>
        <v>0</v>
      </c>
      <c r="I45" s="81" t="s">
        <v>81</v>
      </c>
      <c r="J45" s="82">
        <v>110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</row>
    <row r="46" s="4" customFormat="1" ht="31" spans="1:249">
      <c r="A46" s="50"/>
      <c r="B46" s="51"/>
      <c r="C46" s="52" t="s">
        <v>88</v>
      </c>
      <c r="D46" s="53"/>
      <c r="E46" s="67" t="s">
        <v>18</v>
      </c>
      <c r="F46" s="68">
        <v>0</v>
      </c>
      <c r="G46" s="71">
        <v>220</v>
      </c>
      <c r="H46" s="71">
        <f t="shared" si="1"/>
        <v>0</v>
      </c>
      <c r="I46" s="81" t="s">
        <v>81</v>
      </c>
      <c r="J46" s="82">
        <v>130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</row>
    <row r="47" s="4" customFormat="1" ht="17.6" spans="1:249">
      <c r="A47" s="50"/>
      <c r="B47" s="51"/>
      <c r="C47" s="52" t="s">
        <v>89</v>
      </c>
      <c r="D47" s="53"/>
      <c r="E47" s="67" t="s">
        <v>18</v>
      </c>
      <c r="F47" s="68">
        <v>0</v>
      </c>
      <c r="G47" s="71">
        <v>10</v>
      </c>
      <c r="H47" s="71">
        <f t="shared" si="1"/>
        <v>0</v>
      </c>
      <c r="I47" s="83" t="s">
        <v>90</v>
      </c>
      <c r="J47" s="90">
        <v>5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</row>
    <row r="48" s="4" customFormat="1" ht="17.6" spans="1:249">
      <c r="A48" s="54"/>
      <c r="B48" s="55"/>
      <c r="C48" s="52" t="s">
        <v>91</v>
      </c>
      <c r="D48" s="53"/>
      <c r="E48" s="67" t="s">
        <v>18</v>
      </c>
      <c r="F48" s="68">
        <v>0</v>
      </c>
      <c r="G48" s="71">
        <v>20</v>
      </c>
      <c r="H48" s="71">
        <f t="shared" si="1"/>
        <v>0</v>
      </c>
      <c r="I48" s="91" t="s">
        <v>92</v>
      </c>
      <c r="J48" s="82">
        <v>10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</row>
    <row r="49" s="4" customFormat="1" ht="31" customHeight="1" spans="1:249">
      <c r="A49" s="56" t="s">
        <v>93</v>
      </c>
      <c r="B49" s="45"/>
      <c r="C49" s="34" t="s">
        <v>94</v>
      </c>
      <c r="D49" s="35"/>
      <c r="E49" s="67" t="s">
        <v>18</v>
      </c>
      <c r="F49" s="68">
        <v>0</v>
      </c>
      <c r="G49" s="71">
        <v>58</v>
      </c>
      <c r="H49" s="71">
        <f t="shared" si="1"/>
        <v>0</v>
      </c>
      <c r="I49" s="91" t="s">
        <v>95</v>
      </c>
      <c r="J49" s="82">
        <v>40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</row>
    <row r="50" s="4" customFormat="1" ht="31" customHeight="1" spans="1:249">
      <c r="A50" s="57"/>
      <c r="B50" s="58"/>
      <c r="C50" s="34" t="s">
        <v>96</v>
      </c>
      <c r="D50" s="35"/>
      <c r="E50" s="67" t="s">
        <v>18</v>
      </c>
      <c r="F50" s="68">
        <v>0</v>
      </c>
      <c r="G50" s="71">
        <v>78</v>
      </c>
      <c r="H50" s="71">
        <f t="shared" si="1"/>
        <v>0</v>
      </c>
      <c r="I50" s="91" t="s">
        <v>97</v>
      </c>
      <c r="J50" s="82">
        <v>50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</row>
    <row r="51" s="4" customFormat="1" ht="25" customHeight="1" spans="1:249">
      <c r="A51" s="46"/>
      <c r="B51" s="47"/>
      <c r="C51" s="34" t="s">
        <v>98</v>
      </c>
      <c r="D51" s="35"/>
      <c r="E51" s="67" t="s">
        <v>18</v>
      </c>
      <c r="F51" s="68">
        <v>0</v>
      </c>
      <c r="G51" s="71">
        <v>98</v>
      </c>
      <c r="H51" s="71">
        <f t="shared" si="1"/>
        <v>0</v>
      </c>
      <c r="I51" s="91" t="s">
        <v>99</v>
      </c>
      <c r="J51" s="82">
        <v>65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</row>
    <row r="52" s="4" customFormat="1" ht="46" spans="1:249">
      <c r="A52" s="59" t="s">
        <v>100</v>
      </c>
      <c r="B52" s="60"/>
      <c r="C52" s="34" t="s">
        <v>101</v>
      </c>
      <c r="D52" s="35"/>
      <c r="E52" s="67" t="s">
        <v>18</v>
      </c>
      <c r="F52" s="71">
        <f>E26-11.6</f>
        <v>38.4</v>
      </c>
      <c r="G52" s="71">
        <v>168</v>
      </c>
      <c r="H52" s="71">
        <f t="shared" si="1"/>
        <v>6451.2</v>
      </c>
      <c r="I52" s="83" t="s">
        <v>102</v>
      </c>
      <c r="J52" s="82">
        <v>100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</row>
    <row r="53" s="4" customFormat="1" ht="17.6" spans="1:249">
      <c r="A53" s="61"/>
      <c r="B53" s="62"/>
      <c r="C53" s="63" t="s">
        <v>103</v>
      </c>
      <c r="D53" s="63"/>
      <c r="E53" s="67" t="s">
        <v>28</v>
      </c>
      <c r="F53" s="68">
        <v>0</v>
      </c>
      <c r="G53" s="71">
        <v>168</v>
      </c>
      <c r="H53" s="71">
        <f t="shared" si="1"/>
        <v>0</v>
      </c>
      <c r="I53" s="83" t="s">
        <v>104</v>
      </c>
      <c r="J53" s="82">
        <v>100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</row>
    <row r="54" s="4" customFormat="1" ht="46" spans="1:249">
      <c r="A54" s="61"/>
      <c r="B54" s="62"/>
      <c r="C54" s="63" t="s">
        <v>105</v>
      </c>
      <c r="D54" s="63"/>
      <c r="E54" s="67" t="s">
        <v>18</v>
      </c>
      <c r="F54" s="68">
        <v>0</v>
      </c>
      <c r="G54" s="71">
        <v>240</v>
      </c>
      <c r="H54" s="71">
        <f t="shared" si="1"/>
        <v>0</v>
      </c>
      <c r="I54" s="83" t="s">
        <v>106</v>
      </c>
      <c r="J54" s="82">
        <v>140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</row>
    <row r="55" s="4" customFormat="1" ht="17.6" spans="1:249">
      <c r="A55" s="61"/>
      <c r="B55" s="62"/>
      <c r="C55" s="34" t="s">
        <v>107</v>
      </c>
      <c r="D55" s="35"/>
      <c r="E55" s="67" t="s">
        <v>18</v>
      </c>
      <c r="F55" s="68">
        <v>0</v>
      </c>
      <c r="G55" s="71">
        <v>188</v>
      </c>
      <c r="H55" s="71">
        <f t="shared" si="1"/>
        <v>0</v>
      </c>
      <c r="I55" s="92" t="s">
        <v>108</v>
      </c>
      <c r="J55" s="82">
        <v>110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</row>
    <row r="56" s="4" customFormat="1" ht="46" spans="1:249">
      <c r="A56" s="61"/>
      <c r="B56" s="62"/>
      <c r="C56" s="34" t="s">
        <v>109</v>
      </c>
      <c r="D56" s="35"/>
      <c r="E56" s="67" t="s">
        <v>18</v>
      </c>
      <c r="F56" s="68">
        <v>0</v>
      </c>
      <c r="G56" s="71">
        <v>238</v>
      </c>
      <c r="H56" s="71">
        <f t="shared" si="1"/>
        <v>0</v>
      </c>
      <c r="I56" s="92" t="s">
        <v>110</v>
      </c>
      <c r="J56" s="82">
        <v>150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</row>
    <row r="57" s="4" customFormat="1" ht="46" spans="1:249">
      <c r="A57" s="61"/>
      <c r="B57" s="62"/>
      <c r="C57" s="34" t="s">
        <v>111</v>
      </c>
      <c r="D57" s="35"/>
      <c r="E57" s="67" t="s">
        <v>18</v>
      </c>
      <c r="F57" s="68">
        <v>0</v>
      </c>
      <c r="G57" s="71">
        <v>188</v>
      </c>
      <c r="H57" s="71">
        <f t="shared" si="1"/>
        <v>0</v>
      </c>
      <c r="I57" s="83" t="s">
        <v>102</v>
      </c>
      <c r="J57" s="82">
        <v>110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</row>
    <row r="58" s="4" customFormat="1" ht="46" spans="1:249">
      <c r="A58" s="61"/>
      <c r="B58" s="62"/>
      <c r="C58" s="34" t="s">
        <v>112</v>
      </c>
      <c r="D58" s="35"/>
      <c r="E58" s="67" t="s">
        <v>18</v>
      </c>
      <c r="F58" s="68">
        <v>0</v>
      </c>
      <c r="G58" s="71">
        <v>198</v>
      </c>
      <c r="H58" s="71">
        <f t="shared" si="1"/>
        <v>0</v>
      </c>
      <c r="I58" s="83" t="s">
        <v>102</v>
      </c>
      <c r="J58" s="82">
        <v>110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</row>
    <row r="59" s="4" customFormat="1" ht="46" spans="1:249">
      <c r="A59" s="61"/>
      <c r="B59" s="62"/>
      <c r="C59" s="34" t="s">
        <v>113</v>
      </c>
      <c r="D59" s="35"/>
      <c r="E59" s="67" t="s">
        <v>18</v>
      </c>
      <c r="F59" s="71">
        <f>0.9*7.71+1.57*3.21+0.13*11.1</f>
        <v>13.4217</v>
      </c>
      <c r="G59" s="71">
        <v>258</v>
      </c>
      <c r="H59" s="71">
        <f t="shared" si="1"/>
        <v>3462.7986</v>
      </c>
      <c r="I59" s="83" t="s">
        <v>114</v>
      </c>
      <c r="J59" s="82">
        <v>150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</row>
    <row r="60" s="4" customFormat="1" ht="61" spans="1:249">
      <c r="A60" s="61"/>
      <c r="B60" s="62"/>
      <c r="C60" s="34" t="s">
        <v>115</v>
      </c>
      <c r="D60" s="35"/>
      <c r="E60" s="67" t="s">
        <v>28</v>
      </c>
      <c r="F60" s="68">
        <v>0</v>
      </c>
      <c r="G60" s="71">
        <v>208</v>
      </c>
      <c r="H60" s="71">
        <f t="shared" si="1"/>
        <v>0</v>
      </c>
      <c r="I60" s="83" t="s">
        <v>116</v>
      </c>
      <c r="J60" s="82">
        <v>110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</row>
    <row r="61" s="4" customFormat="1" ht="25" customHeight="1" spans="1:249">
      <c r="A61" s="61"/>
      <c r="B61" s="62"/>
      <c r="C61" s="34" t="s">
        <v>117</v>
      </c>
      <c r="D61" s="35"/>
      <c r="E61" s="67" t="s">
        <v>28</v>
      </c>
      <c r="F61" s="71">
        <f>9.8+6.9</f>
        <v>16.7</v>
      </c>
      <c r="G61" s="71">
        <v>80</v>
      </c>
      <c r="H61" s="71">
        <f t="shared" si="1"/>
        <v>1336</v>
      </c>
      <c r="I61" s="83" t="s">
        <v>118</v>
      </c>
      <c r="J61" s="82">
        <v>50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</row>
    <row r="62" s="4" customFormat="1" ht="25" customHeight="1" spans="1:249">
      <c r="A62" s="61"/>
      <c r="B62" s="62"/>
      <c r="C62" s="34" t="s">
        <v>119</v>
      </c>
      <c r="D62" s="35"/>
      <c r="E62" s="67" t="s">
        <v>28</v>
      </c>
      <c r="F62" s="68">
        <v>0</v>
      </c>
      <c r="G62" s="71">
        <v>100</v>
      </c>
      <c r="H62" s="71">
        <f t="shared" si="1"/>
        <v>0</v>
      </c>
      <c r="I62" s="83" t="s">
        <v>118</v>
      </c>
      <c r="J62" s="82">
        <v>60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</row>
    <row r="63" s="4" customFormat="1" ht="25" customHeight="1" spans="1:249">
      <c r="A63" s="61"/>
      <c r="B63" s="62"/>
      <c r="C63" s="34" t="s">
        <v>120</v>
      </c>
      <c r="D63" s="35"/>
      <c r="E63" s="67" t="s">
        <v>28</v>
      </c>
      <c r="F63" s="68">
        <v>0</v>
      </c>
      <c r="G63" s="71">
        <v>40</v>
      </c>
      <c r="H63" s="71">
        <f t="shared" si="1"/>
        <v>0</v>
      </c>
      <c r="I63" s="83"/>
      <c r="J63" s="82">
        <v>20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</row>
    <row r="64" s="4" customFormat="1" ht="25" customHeight="1" spans="1:249">
      <c r="A64" s="61"/>
      <c r="B64" s="62"/>
      <c r="C64" s="34" t="s">
        <v>121</v>
      </c>
      <c r="D64" s="35"/>
      <c r="E64" s="67" t="s">
        <v>28</v>
      </c>
      <c r="F64" s="71">
        <f>13+1.89+11</f>
        <v>25.89</v>
      </c>
      <c r="G64" s="71">
        <v>50</v>
      </c>
      <c r="H64" s="71">
        <f t="shared" si="1"/>
        <v>1294.5</v>
      </c>
      <c r="I64" s="83" t="s">
        <v>122</v>
      </c>
      <c r="J64" s="82">
        <v>35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</row>
    <row r="65" s="4" customFormat="1" ht="25" customHeight="1" spans="1:249">
      <c r="A65" s="61"/>
      <c r="B65" s="62"/>
      <c r="C65" s="34" t="s">
        <v>123</v>
      </c>
      <c r="D65" s="35"/>
      <c r="E65" s="67" t="s">
        <v>28</v>
      </c>
      <c r="F65" s="71">
        <f>7.7</f>
        <v>7.7</v>
      </c>
      <c r="G65" s="71">
        <v>60</v>
      </c>
      <c r="H65" s="71">
        <f t="shared" si="1"/>
        <v>462</v>
      </c>
      <c r="I65" s="83" t="s">
        <v>124</v>
      </c>
      <c r="J65" s="82">
        <v>40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</row>
    <row r="66" s="4" customFormat="1" ht="25" customHeight="1" spans="1:249">
      <c r="A66" s="61"/>
      <c r="B66" s="62"/>
      <c r="C66" s="34" t="s">
        <v>125</v>
      </c>
      <c r="D66" s="35"/>
      <c r="E66" s="67" t="s">
        <v>28</v>
      </c>
      <c r="F66" s="71">
        <v>6</v>
      </c>
      <c r="G66" s="71">
        <v>200</v>
      </c>
      <c r="H66" s="71">
        <f t="shared" si="1"/>
        <v>1200</v>
      </c>
      <c r="I66" s="83" t="s">
        <v>126</v>
      </c>
      <c r="J66" s="82">
        <v>130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</row>
    <row r="67" s="4" customFormat="1" ht="31" spans="1:249">
      <c r="A67" s="61"/>
      <c r="B67" s="62"/>
      <c r="C67" s="63" t="s">
        <v>127</v>
      </c>
      <c r="D67" s="63"/>
      <c r="E67" s="67" t="s">
        <v>28</v>
      </c>
      <c r="F67" s="71">
        <v>6.1</v>
      </c>
      <c r="G67" s="71">
        <v>208</v>
      </c>
      <c r="H67" s="71">
        <f t="shared" si="1"/>
        <v>1268.8</v>
      </c>
      <c r="I67" s="83" t="s">
        <v>128</v>
      </c>
      <c r="J67" s="82">
        <v>130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</row>
    <row r="68" s="5" customFormat="1" ht="42" customHeight="1" spans="1:249">
      <c r="A68" s="61"/>
      <c r="B68" s="62"/>
      <c r="C68" s="63" t="s">
        <v>129</v>
      </c>
      <c r="D68" s="63"/>
      <c r="E68" s="70" t="s">
        <v>49</v>
      </c>
      <c r="F68" s="71">
        <v>4</v>
      </c>
      <c r="G68" s="71">
        <v>600</v>
      </c>
      <c r="H68" s="71">
        <f t="shared" si="1"/>
        <v>2400</v>
      </c>
      <c r="I68" s="83" t="s">
        <v>130</v>
      </c>
      <c r="J68" s="82">
        <v>400</v>
      </c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  <c r="BA68" s="86"/>
      <c r="BB68" s="86"/>
      <c r="BC68" s="86"/>
      <c r="BD68" s="86"/>
      <c r="BE68" s="86"/>
      <c r="BF68" s="86"/>
      <c r="BG68" s="86"/>
      <c r="BH68" s="86"/>
      <c r="BI68" s="86"/>
      <c r="BJ68" s="86"/>
      <c r="BK68" s="86"/>
      <c r="BL68" s="86"/>
      <c r="BM68" s="86"/>
      <c r="BN68" s="86"/>
      <c r="BO68" s="86"/>
      <c r="BP68" s="86"/>
      <c r="BQ68" s="86"/>
      <c r="BR68" s="86"/>
      <c r="BS68" s="86"/>
      <c r="BT68" s="86"/>
      <c r="BU68" s="86"/>
      <c r="BV68" s="86"/>
      <c r="BW68" s="86"/>
      <c r="BX68" s="86"/>
      <c r="BY68" s="86"/>
      <c r="BZ68" s="86"/>
      <c r="CA68" s="86"/>
      <c r="CB68" s="86"/>
      <c r="CC68" s="86"/>
      <c r="CD68" s="86"/>
      <c r="CE68" s="86"/>
      <c r="CF68" s="86"/>
      <c r="CG68" s="86"/>
      <c r="CH68" s="86"/>
      <c r="CI68" s="86"/>
      <c r="CJ68" s="86"/>
      <c r="CK68" s="86"/>
      <c r="CL68" s="86"/>
      <c r="CM68" s="86"/>
      <c r="CN68" s="86"/>
      <c r="CO68" s="86"/>
      <c r="CP68" s="86"/>
      <c r="CQ68" s="86"/>
      <c r="CR68" s="86"/>
      <c r="CS68" s="86"/>
      <c r="CT68" s="86"/>
      <c r="CU68" s="86"/>
      <c r="CV68" s="86"/>
      <c r="CW68" s="86"/>
      <c r="CX68" s="86"/>
      <c r="CY68" s="86"/>
      <c r="CZ68" s="86"/>
      <c r="DA68" s="86"/>
      <c r="DB68" s="86"/>
      <c r="DC68" s="86"/>
      <c r="DD68" s="86"/>
      <c r="DE68" s="86"/>
      <c r="DF68" s="86"/>
      <c r="DG68" s="86"/>
      <c r="DH68" s="86"/>
      <c r="DI68" s="86"/>
      <c r="DJ68" s="86"/>
      <c r="DK68" s="86"/>
      <c r="DL68" s="86"/>
      <c r="DM68" s="86"/>
      <c r="DN68" s="86"/>
      <c r="DO68" s="86"/>
      <c r="DP68" s="86"/>
      <c r="DQ68" s="86"/>
      <c r="DR68" s="86"/>
      <c r="DS68" s="86"/>
      <c r="DT68" s="86"/>
      <c r="DU68" s="86"/>
      <c r="DV68" s="86"/>
      <c r="DW68" s="86"/>
      <c r="DX68" s="86"/>
      <c r="DY68" s="86"/>
      <c r="DZ68" s="86"/>
      <c r="EA68" s="86"/>
      <c r="EB68" s="86"/>
      <c r="EC68" s="86"/>
      <c r="ED68" s="86"/>
      <c r="EE68" s="86"/>
      <c r="EF68" s="86"/>
      <c r="EG68" s="86"/>
      <c r="EH68" s="86"/>
      <c r="EI68" s="86"/>
      <c r="EJ68" s="86"/>
      <c r="EK68" s="86"/>
      <c r="EL68" s="86"/>
      <c r="EM68" s="86"/>
      <c r="EN68" s="86"/>
      <c r="EO68" s="86"/>
      <c r="EP68" s="86"/>
      <c r="EQ68" s="86"/>
      <c r="ER68" s="86"/>
      <c r="ES68" s="86"/>
      <c r="ET68" s="86"/>
      <c r="EU68" s="86"/>
      <c r="EV68" s="86"/>
      <c r="EW68" s="86"/>
      <c r="EX68" s="86"/>
      <c r="EY68" s="86"/>
      <c r="EZ68" s="86"/>
      <c r="FA68" s="86"/>
      <c r="FB68" s="86"/>
      <c r="FC68" s="86"/>
      <c r="FD68" s="86"/>
      <c r="FE68" s="86"/>
      <c r="FF68" s="86"/>
      <c r="FG68" s="86"/>
      <c r="FH68" s="86"/>
      <c r="FI68" s="86"/>
      <c r="FJ68" s="86"/>
      <c r="FK68" s="86"/>
      <c r="FL68" s="86"/>
      <c r="FM68" s="86"/>
      <c r="FN68" s="86"/>
      <c r="FO68" s="86"/>
      <c r="FP68" s="86"/>
      <c r="FQ68" s="86"/>
      <c r="FR68" s="86"/>
      <c r="FS68" s="86"/>
      <c r="FT68" s="86"/>
      <c r="FU68" s="86"/>
      <c r="FV68" s="86"/>
      <c r="FW68" s="86"/>
      <c r="FX68" s="86"/>
      <c r="FY68" s="86"/>
      <c r="FZ68" s="86"/>
      <c r="GA68" s="86"/>
      <c r="GB68" s="86"/>
      <c r="GC68" s="86"/>
      <c r="GD68" s="86"/>
      <c r="GE68" s="86"/>
      <c r="GF68" s="86"/>
      <c r="GG68" s="86"/>
      <c r="GH68" s="86"/>
      <c r="GI68" s="86"/>
      <c r="GJ68" s="86"/>
      <c r="GK68" s="86"/>
      <c r="GL68" s="86"/>
      <c r="GM68" s="86"/>
      <c r="GN68" s="86"/>
      <c r="GO68" s="86"/>
      <c r="GP68" s="86"/>
      <c r="GQ68" s="86"/>
      <c r="GR68" s="86"/>
      <c r="GS68" s="86"/>
      <c r="GT68" s="86"/>
      <c r="GU68" s="86"/>
      <c r="GV68" s="86"/>
      <c r="GW68" s="86"/>
      <c r="GX68" s="86"/>
      <c r="GY68" s="86"/>
      <c r="GZ68" s="86"/>
      <c r="HA68" s="86"/>
      <c r="HB68" s="86"/>
      <c r="HC68" s="86"/>
      <c r="HD68" s="86"/>
      <c r="HE68" s="86"/>
      <c r="HF68" s="86"/>
      <c r="HG68" s="86"/>
      <c r="HH68" s="86"/>
      <c r="HI68" s="86"/>
      <c r="HJ68" s="86"/>
      <c r="HK68" s="86"/>
      <c r="HL68" s="86"/>
      <c r="HM68" s="86"/>
      <c r="HN68" s="86"/>
      <c r="HO68" s="86"/>
      <c r="HP68" s="86"/>
      <c r="HQ68" s="86"/>
      <c r="HR68" s="86"/>
      <c r="HS68" s="86"/>
      <c r="HT68" s="86"/>
      <c r="HU68" s="86"/>
      <c r="HV68" s="86"/>
      <c r="HW68" s="86"/>
      <c r="HX68" s="86"/>
      <c r="HY68" s="86"/>
      <c r="HZ68" s="86"/>
      <c r="IA68" s="86"/>
      <c r="IB68" s="86"/>
      <c r="IC68" s="86"/>
      <c r="ID68" s="86"/>
      <c r="IE68" s="86"/>
      <c r="IF68" s="86"/>
      <c r="IG68" s="86"/>
      <c r="IH68" s="86"/>
      <c r="II68" s="86"/>
      <c r="IJ68" s="86"/>
      <c r="IK68" s="86"/>
      <c r="IL68" s="86"/>
      <c r="IM68" s="86"/>
      <c r="IN68" s="86"/>
      <c r="IO68" s="86"/>
    </row>
    <row r="69" s="4" customFormat="1" ht="25" customHeight="1" spans="1:249">
      <c r="A69" s="61"/>
      <c r="B69" s="62"/>
      <c r="C69" s="34" t="s">
        <v>131</v>
      </c>
      <c r="D69" s="35"/>
      <c r="E69" s="67" t="s">
        <v>28</v>
      </c>
      <c r="F69" s="68">
        <v>0</v>
      </c>
      <c r="G69" s="71">
        <v>60</v>
      </c>
      <c r="H69" s="71">
        <f t="shared" si="1"/>
        <v>0</v>
      </c>
      <c r="I69" s="83" t="s">
        <v>124</v>
      </c>
      <c r="J69" s="82">
        <v>40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</row>
    <row r="70" s="4" customFormat="1" ht="46" spans="1:249">
      <c r="A70" s="61"/>
      <c r="B70" s="62"/>
      <c r="C70" s="63" t="s">
        <v>105</v>
      </c>
      <c r="D70" s="63"/>
      <c r="E70" s="67" t="s">
        <v>18</v>
      </c>
      <c r="F70" s="68">
        <v>0</v>
      </c>
      <c r="G70" s="71">
        <v>240</v>
      </c>
      <c r="H70" s="71">
        <f t="shared" si="1"/>
        <v>0</v>
      </c>
      <c r="I70" s="83" t="s">
        <v>132</v>
      </c>
      <c r="J70" s="82">
        <v>140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</row>
    <row r="71" s="4" customFormat="1" ht="46" spans="1:249">
      <c r="A71" s="93"/>
      <c r="B71" s="94"/>
      <c r="C71" s="34" t="s">
        <v>133</v>
      </c>
      <c r="D71" s="35"/>
      <c r="E71" s="67" t="s">
        <v>18</v>
      </c>
      <c r="F71" s="68">
        <v>0</v>
      </c>
      <c r="G71" s="71">
        <v>208</v>
      </c>
      <c r="H71" s="71">
        <f t="shared" si="1"/>
        <v>0</v>
      </c>
      <c r="I71" s="83" t="s">
        <v>134</v>
      </c>
      <c r="J71" s="82">
        <v>110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</row>
    <row r="72" s="4" customFormat="1" ht="46" spans="1:249">
      <c r="A72" s="95" t="s">
        <v>135</v>
      </c>
      <c r="B72" s="60"/>
      <c r="C72" s="34" t="s">
        <v>136</v>
      </c>
      <c r="D72" s="35"/>
      <c r="E72" s="67" t="s">
        <v>18</v>
      </c>
      <c r="F72" s="71">
        <f>SUM(E26)</f>
        <v>50</v>
      </c>
      <c r="G72" s="71">
        <v>47</v>
      </c>
      <c r="H72" s="71">
        <f t="shared" si="1"/>
        <v>2350</v>
      </c>
      <c r="I72" s="83" t="s">
        <v>137</v>
      </c>
      <c r="J72" s="82">
        <v>35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</row>
    <row r="73" s="4" customFormat="1" ht="31" spans="1:249">
      <c r="A73" s="61"/>
      <c r="B73" s="62"/>
      <c r="C73" s="34" t="s">
        <v>138</v>
      </c>
      <c r="D73" s="35"/>
      <c r="E73" s="67" t="s">
        <v>18</v>
      </c>
      <c r="F73" s="71">
        <f>F72</f>
        <v>50</v>
      </c>
      <c r="G73" s="71">
        <v>18</v>
      </c>
      <c r="H73" s="71">
        <f t="shared" si="1"/>
        <v>900</v>
      </c>
      <c r="I73" s="96" t="s">
        <v>139</v>
      </c>
      <c r="J73" s="82">
        <v>10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</row>
    <row r="74" s="4" customFormat="1" ht="46" spans="1:249">
      <c r="A74" s="61"/>
      <c r="B74" s="62"/>
      <c r="C74" s="52" t="s">
        <v>140</v>
      </c>
      <c r="D74" s="53"/>
      <c r="E74" s="67" t="s">
        <v>18</v>
      </c>
      <c r="F74" s="71">
        <f>SUM(G26*I26)</f>
        <v>112</v>
      </c>
      <c r="G74" s="71">
        <v>47</v>
      </c>
      <c r="H74" s="71">
        <f t="shared" si="1"/>
        <v>5264</v>
      </c>
      <c r="I74" s="83" t="s">
        <v>141</v>
      </c>
      <c r="J74" s="82">
        <v>35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</row>
    <row r="75" s="4" customFormat="1" ht="31" spans="1:249">
      <c r="A75" s="93"/>
      <c r="B75" s="94"/>
      <c r="C75" s="52" t="s">
        <v>142</v>
      </c>
      <c r="D75" s="53"/>
      <c r="E75" s="67" t="s">
        <v>18</v>
      </c>
      <c r="F75" s="71">
        <f>SUM(F74:F74)</f>
        <v>112</v>
      </c>
      <c r="G75" s="71">
        <v>18</v>
      </c>
      <c r="H75" s="71">
        <f t="shared" si="1"/>
        <v>2016</v>
      </c>
      <c r="I75" s="96" t="s">
        <v>139</v>
      </c>
      <c r="J75" s="82">
        <v>10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</row>
    <row r="76" s="4" customFormat="1" ht="31" spans="1:249">
      <c r="A76" s="56" t="s">
        <v>143</v>
      </c>
      <c r="B76" s="45"/>
      <c r="C76" s="34" t="s">
        <v>144</v>
      </c>
      <c r="D76" s="35"/>
      <c r="E76" s="72" t="s">
        <v>26</v>
      </c>
      <c r="F76" s="68">
        <v>0</v>
      </c>
      <c r="G76" s="71">
        <v>280</v>
      </c>
      <c r="H76" s="71">
        <f t="shared" si="1"/>
        <v>0</v>
      </c>
      <c r="I76" s="81" t="s">
        <v>145</v>
      </c>
      <c r="J76" s="82">
        <v>200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</row>
    <row r="77" s="4" customFormat="1" ht="31" spans="1:249">
      <c r="A77" s="57"/>
      <c r="B77" s="58"/>
      <c r="C77" s="34" t="s">
        <v>146</v>
      </c>
      <c r="D77" s="35"/>
      <c r="E77" s="72" t="s">
        <v>26</v>
      </c>
      <c r="F77" s="68">
        <v>0</v>
      </c>
      <c r="G77" s="71">
        <v>380</v>
      </c>
      <c r="H77" s="71">
        <f t="shared" si="1"/>
        <v>0</v>
      </c>
      <c r="I77" s="81" t="s">
        <v>145</v>
      </c>
      <c r="J77" s="82">
        <v>300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</row>
    <row r="78" s="4" customFormat="1" ht="31" spans="1:249">
      <c r="A78" s="46"/>
      <c r="B78" s="47"/>
      <c r="C78" s="34" t="s">
        <v>147</v>
      </c>
      <c r="D78" s="35"/>
      <c r="E78" s="72" t="s">
        <v>26</v>
      </c>
      <c r="F78" s="68">
        <v>0</v>
      </c>
      <c r="G78" s="71">
        <v>480</v>
      </c>
      <c r="H78" s="71">
        <f t="shared" si="1"/>
        <v>0</v>
      </c>
      <c r="I78" s="81" t="s">
        <v>145</v>
      </c>
      <c r="J78" s="82">
        <v>400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</row>
    <row r="79" ht="25" customHeight="1" spans="1:10">
      <c r="A79" s="36" t="s">
        <v>57</v>
      </c>
      <c r="B79" s="37"/>
      <c r="C79" s="38"/>
      <c r="D79" s="38"/>
      <c r="E79" s="37"/>
      <c r="F79" s="37"/>
      <c r="G79" s="37"/>
      <c r="H79" s="73">
        <f>SUM(H27:H78)</f>
        <v>37005.2986</v>
      </c>
      <c r="I79" s="87"/>
      <c r="J79" s="97"/>
    </row>
    <row r="80" s="3" customFormat="1" ht="25" customHeight="1" spans="1:249">
      <c r="A80" s="39" t="s">
        <v>148</v>
      </c>
      <c r="B80" s="40"/>
      <c r="C80" s="40"/>
      <c r="D80" s="41" t="s">
        <v>13</v>
      </c>
      <c r="E80" s="41">
        <v>20</v>
      </c>
      <c r="F80" s="41" t="s">
        <v>14</v>
      </c>
      <c r="G80" s="41">
        <v>20</v>
      </c>
      <c r="H80" s="41" t="s">
        <v>15</v>
      </c>
      <c r="I80" s="88">
        <v>2.91</v>
      </c>
      <c r="J80" s="98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/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  <c r="IO80" s="11"/>
    </row>
    <row r="81" s="4" customFormat="1" ht="46" spans="1:249">
      <c r="A81" s="42"/>
      <c r="B81" s="43"/>
      <c r="C81" s="34" t="s">
        <v>149</v>
      </c>
      <c r="D81" s="35"/>
      <c r="E81" s="67" t="s">
        <v>28</v>
      </c>
      <c r="F81" s="68">
        <v>0</v>
      </c>
      <c r="G81" s="71">
        <v>160</v>
      </c>
      <c r="H81" s="71">
        <f t="shared" ref="H81:H127" si="2">F81*G81</f>
        <v>0</v>
      </c>
      <c r="I81" s="83" t="s">
        <v>150</v>
      </c>
      <c r="J81" s="99">
        <v>100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</row>
    <row r="82" s="4" customFormat="1" ht="46" spans="1:249">
      <c r="A82" s="42"/>
      <c r="B82" s="43"/>
      <c r="C82" s="34" t="s">
        <v>61</v>
      </c>
      <c r="D82" s="35"/>
      <c r="E82" s="67" t="s">
        <v>28</v>
      </c>
      <c r="F82" s="71">
        <v>1.76</v>
      </c>
      <c r="G82" s="71">
        <v>100</v>
      </c>
      <c r="H82" s="71">
        <f t="shared" si="2"/>
        <v>176</v>
      </c>
      <c r="I82" s="83" t="s">
        <v>62</v>
      </c>
      <c r="J82" s="99">
        <v>50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</row>
    <row r="83" s="4" customFormat="1" ht="25" customHeight="1" spans="1:249">
      <c r="A83" s="42"/>
      <c r="B83" s="43"/>
      <c r="C83" s="34" t="s">
        <v>63</v>
      </c>
      <c r="D83" s="35"/>
      <c r="E83" s="67" t="s">
        <v>18</v>
      </c>
      <c r="F83" s="68">
        <v>0</v>
      </c>
      <c r="G83" s="71">
        <v>12</v>
      </c>
      <c r="H83" s="71">
        <f t="shared" si="2"/>
        <v>0</v>
      </c>
      <c r="I83" s="81" t="s">
        <v>64</v>
      </c>
      <c r="J83" s="82">
        <v>12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</row>
    <row r="84" s="4" customFormat="1" ht="31" spans="1:249">
      <c r="A84" s="48" t="s">
        <v>70</v>
      </c>
      <c r="B84" s="49"/>
      <c r="C84" s="34" t="s">
        <v>71</v>
      </c>
      <c r="D84" s="35"/>
      <c r="E84" s="67" t="s">
        <v>18</v>
      </c>
      <c r="F84" s="68">
        <v>0</v>
      </c>
      <c r="G84" s="71">
        <v>150</v>
      </c>
      <c r="H84" s="71">
        <f t="shared" si="2"/>
        <v>0</v>
      </c>
      <c r="I84" s="83" t="s">
        <v>72</v>
      </c>
      <c r="J84" s="82">
        <v>90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</row>
    <row r="85" s="4" customFormat="1" ht="31" customHeight="1" spans="1:249">
      <c r="A85" s="50"/>
      <c r="B85" s="51"/>
      <c r="C85" s="34" t="s">
        <v>73</v>
      </c>
      <c r="D85" s="35"/>
      <c r="E85" s="67" t="s">
        <v>18</v>
      </c>
      <c r="F85" s="71">
        <f>SUM(E80)</f>
        <v>20</v>
      </c>
      <c r="G85" s="71">
        <v>160</v>
      </c>
      <c r="H85" s="71">
        <f t="shared" si="2"/>
        <v>3200</v>
      </c>
      <c r="I85" s="83" t="s">
        <v>72</v>
      </c>
      <c r="J85" s="82">
        <v>100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</row>
    <row r="86" s="4" customFormat="1" ht="31" customHeight="1" spans="1:249">
      <c r="A86" s="50"/>
      <c r="B86" s="51"/>
      <c r="C86" s="52" t="s">
        <v>74</v>
      </c>
      <c r="D86" s="53"/>
      <c r="E86" s="67" t="s">
        <v>18</v>
      </c>
      <c r="F86" s="68">
        <v>0</v>
      </c>
      <c r="G86" s="71">
        <v>170</v>
      </c>
      <c r="H86" s="71">
        <f t="shared" si="2"/>
        <v>0</v>
      </c>
      <c r="I86" s="83" t="s">
        <v>72</v>
      </c>
      <c r="J86" s="82">
        <v>105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</row>
    <row r="87" s="4" customFormat="1" ht="31" spans="1:249">
      <c r="A87" s="50"/>
      <c r="B87" s="51"/>
      <c r="C87" s="52" t="s">
        <v>75</v>
      </c>
      <c r="D87" s="53"/>
      <c r="E87" s="67" t="s">
        <v>18</v>
      </c>
      <c r="F87" s="68">
        <v>0</v>
      </c>
      <c r="G87" s="71">
        <v>200</v>
      </c>
      <c r="H87" s="71">
        <f t="shared" si="2"/>
        <v>0</v>
      </c>
      <c r="I87" s="83" t="s">
        <v>72</v>
      </c>
      <c r="J87" s="82">
        <v>120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</row>
    <row r="88" s="4" customFormat="1" ht="46" spans="1:249">
      <c r="A88" s="50"/>
      <c r="B88" s="51"/>
      <c r="C88" s="52" t="s">
        <v>76</v>
      </c>
      <c r="D88" s="53"/>
      <c r="E88" s="67" t="s">
        <v>18</v>
      </c>
      <c r="F88" s="68">
        <v>0</v>
      </c>
      <c r="G88" s="71">
        <v>185</v>
      </c>
      <c r="H88" s="71">
        <f t="shared" si="2"/>
        <v>0</v>
      </c>
      <c r="I88" s="83" t="s">
        <v>77</v>
      </c>
      <c r="J88" s="82">
        <v>115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</row>
    <row r="89" s="4" customFormat="1" ht="31" spans="1:249">
      <c r="A89" s="50"/>
      <c r="B89" s="51"/>
      <c r="C89" s="52" t="s">
        <v>78</v>
      </c>
      <c r="D89" s="53"/>
      <c r="E89" s="67" t="s">
        <v>18</v>
      </c>
      <c r="F89" s="68">
        <v>0</v>
      </c>
      <c r="G89" s="71">
        <v>195</v>
      </c>
      <c r="H89" s="71">
        <f t="shared" si="2"/>
        <v>0</v>
      </c>
      <c r="I89" s="83" t="s">
        <v>72</v>
      </c>
      <c r="J89" s="82">
        <v>120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</row>
    <row r="90" s="4" customFormat="1" ht="31" spans="1:249">
      <c r="A90" s="50"/>
      <c r="B90" s="51"/>
      <c r="C90" s="52" t="s">
        <v>79</v>
      </c>
      <c r="D90" s="53"/>
      <c r="E90" s="67" t="s">
        <v>18</v>
      </c>
      <c r="F90" s="68">
        <v>0</v>
      </c>
      <c r="G90" s="71">
        <v>190</v>
      </c>
      <c r="H90" s="71">
        <f t="shared" si="2"/>
        <v>0</v>
      </c>
      <c r="I90" s="83" t="s">
        <v>72</v>
      </c>
      <c r="J90" s="82">
        <v>120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</row>
    <row r="91" s="4" customFormat="1" ht="31" spans="1:249">
      <c r="A91" s="50"/>
      <c r="B91" s="51"/>
      <c r="C91" s="52" t="s">
        <v>80</v>
      </c>
      <c r="D91" s="53"/>
      <c r="E91" s="67" t="s">
        <v>18</v>
      </c>
      <c r="F91" s="68">
        <v>0</v>
      </c>
      <c r="G91" s="71">
        <v>200</v>
      </c>
      <c r="H91" s="71">
        <f t="shared" si="2"/>
        <v>0</v>
      </c>
      <c r="I91" s="81" t="s">
        <v>81</v>
      </c>
      <c r="J91" s="82">
        <v>140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</row>
    <row r="92" s="4" customFormat="1" ht="31" spans="1:249">
      <c r="A92" s="50"/>
      <c r="B92" s="51"/>
      <c r="C92" s="52" t="s">
        <v>82</v>
      </c>
      <c r="D92" s="53"/>
      <c r="E92" s="67" t="s">
        <v>18</v>
      </c>
      <c r="F92" s="68">
        <v>0</v>
      </c>
      <c r="G92" s="71">
        <v>200</v>
      </c>
      <c r="H92" s="71">
        <f t="shared" si="2"/>
        <v>0</v>
      </c>
      <c r="I92" s="81" t="s">
        <v>81</v>
      </c>
      <c r="J92" s="90">
        <v>140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</row>
    <row r="93" s="4" customFormat="1" ht="31" spans="1:249">
      <c r="A93" s="50"/>
      <c r="B93" s="51"/>
      <c r="C93" s="52" t="s">
        <v>83</v>
      </c>
      <c r="D93" s="53"/>
      <c r="E93" s="67" t="s">
        <v>18</v>
      </c>
      <c r="F93" s="68">
        <v>0</v>
      </c>
      <c r="G93" s="71">
        <v>200</v>
      </c>
      <c r="H93" s="71">
        <f t="shared" si="2"/>
        <v>0</v>
      </c>
      <c r="I93" s="81" t="s">
        <v>81</v>
      </c>
      <c r="J93" s="90">
        <v>140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</row>
    <row r="94" s="4" customFormat="1" ht="31" spans="1:249">
      <c r="A94" s="50"/>
      <c r="B94" s="51"/>
      <c r="C94" s="52" t="s">
        <v>84</v>
      </c>
      <c r="D94" s="53"/>
      <c r="E94" s="67" t="s">
        <v>18</v>
      </c>
      <c r="F94" s="68">
        <v>0</v>
      </c>
      <c r="G94" s="71">
        <v>180</v>
      </c>
      <c r="H94" s="71">
        <f t="shared" si="2"/>
        <v>0</v>
      </c>
      <c r="I94" s="81" t="s">
        <v>81</v>
      </c>
      <c r="J94" s="90">
        <v>110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</row>
    <row r="95" s="4" customFormat="1" ht="31" spans="1:249">
      <c r="A95" s="50"/>
      <c r="B95" s="51"/>
      <c r="C95" s="34" t="s">
        <v>85</v>
      </c>
      <c r="D95" s="35"/>
      <c r="E95" s="67" t="s">
        <v>18</v>
      </c>
      <c r="F95" s="68">
        <v>0</v>
      </c>
      <c r="G95" s="71">
        <v>160</v>
      </c>
      <c r="H95" s="71">
        <f t="shared" si="2"/>
        <v>0</v>
      </c>
      <c r="I95" s="81" t="s">
        <v>81</v>
      </c>
      <c r="J95" s="82">
        <v>100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</row>
    <row r="96" s="4" customFormat="1" ht="31" spans="1:249">
      <c r="A96" s="50"/>
      <c r="B96" s="51"/>
      <c r="C96" s="52" t="s">
        <v>86</v>
      </c>
      <c r="D96" s="53"/>
      <c r="E96" s="67" t="s">
        <v>18</v>
      </c>
      <c r="F96" s="68">
        <v>0</v>
      </c>
      <c r="G96" s="71">
        <v>170</v>
      </c>
      <c r="H96" s="71">
        <f t="shared" si="2"/>
        <v>0</v>
      </c>
      <c r="I96" s="81" t="s">
        <v>81</v>
      </c>
      <c r="J96" s="82">
        <v>105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</row>
    <row r="97" s="4" customFormat="1" ht="31" spans="1:249">
      <c r="A97" s="50"/>
      <c r="B97" s="51"/>
      <c r="C97" s="52" t="s">
        <v>87</v>
      </c>
      <c r="D97" s="53"/>
      <c r="E97" s="67" t="s">
        <v>18</v>
      </c>
      <c r="F97" s="68">
        <v>0</v>
      </c>
      <c r="G97" s="71">
        <v>180</v>
      </c>
      <c r="H97" s="71">
        <f t="shared" si="2"/>
        <v>0</v>
      </c>
      <c r="I97" s="81" t="s">
        <v>81</v>
      </c>
      <c r="J97" s="82">
        <v>110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</row>
    <row r="98" s="6" customFormat="1" ht="31" spans="1:249">
      <c r="A98" s="50"/>
      <c r="B98" s="51"/>
      <c r="C98" s="52" t="s">
        <v>88</v>
      </c>
      <c r="D98" s="53"/>
      <c r="E98" s="67" t="s">
        <v>18</v>
      </c>
      <c r="F98" s="68">
        <v>0</v>
      </c>
      <c r="G98" s="71">
        <v>220</v>
      </c>
      <c r="H98" s="71">
        <f t="shared" si="2"/>
        <v>0</v>
      </c>
      <c r="I98" s="81" t="s">
        <v>81</v>
      </c>
      <c r="J98" s="82">
        <v>130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</row>
    <row r="99" s="4" customFormat="1" ht="17.6" spans="1:249">
      <c r="A99" s="50"/>
      <c r="B99" s="51"/>
      <c r="C99" s="52" t="s">
        <v>89</v>
      </c>
      <c r="D99" s="53"/>
      <c r="E99" s="67" t="s">
        <v>18</v>
      </c>
      <c r="F99" s="68">
        <v>0</v>
      </c>
      <c r="G99" s="71">
        <v>10</v>
      </c>
      <c r="H99" s="71">
        <f t="shared" si="2"/>
        <v>0</v>
      </c>
      <c r="I99" s="83" t="s">
        <v>90</v>
      </c>
      <c r="J99" s="82">
        <v>5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</row>
    <row r="100" s="4" customFormat="1" ht="25" customHeight="1" spans="1:249">
      <c r="A100" s="54"/>
      <c r="B100" s="55"/>
      <c r="C100" s="52" t="s">
        <v>91</v>
      </c>
      <c r="D100" s="53"/>
      <c r="E100" s="67" t="s">
        <v>18</v>
      </c>
      <c r="F100" s="68">
        <v>0</v>
      </c>
      <c r="G100" s="71">
        <v>20</v>
      </c>
      <c r="H100" s="71">
        <f t="shared" si="2"/>
        <v>0</v>
      </c>
      <c r="I100" s="91" t="s">
        <v>92</v>
      </c>
      <c r="J100" s="82">
        <v>10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</row>
    <row r="101" s="4" customFormat="1" ht="25" customHeight="1" spans="1:249">
      <c r="A101" s="56" t="s">
        <v>93</v>
      </c>
      <c r="B101" s="45"/>
      <c r="C101" s="34" t="s">
        <v>94</v>
      </c>
      <c r="D101" s="35"/>
      <c r="E101" s="67" t="s">
        <v>18</v>
      </c>
      <c r="F101" s="68">
        <v>0</v>
      </c>
      <c r="G101" s="71">
        <v>58</v>
      </c>
      <c r="H101" s="71">
        <f t="shared" si="2"/>
        <v>0</v>
      </c>
      <c r="I101" s="91" t="s">
        <v>95</v>
      </c>
      <c r="J101" s="82">
        <v>40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</row>
    <row r="102" s="4" customFormat="1" ht="17.6" spans="1:249">
      <c r="A102" s="57"/>
      <c r="B102" s="58"/>
      <c r="C102" s="34" t="s">
        <v>96</v>
      </c>
      <c r="D102" s="35"/>
      <c r="E102" s="67" t="s">
        <v>18</v>
      </c>
      <c r="F102" s="68">
        <v>0</v>
      </c>
      <c r="G102" s="71">
        <v>78</v>
      </c>
      <c r="H102" s="71">
        <f t="shared" si="2"/>
        <v>0</v>
      </c>
      <c r="I102" s="91" t="s">
        <v>97</v>
      </c>
      <c r="J102" s="82">
        <v>50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</row>
    <row r="103" s="4" customFormat="1" ht="17.6" spans="1:249">
      <c r="A103" s="46"/>
      <c r="B103" s="47"/>
      <c r="C103" s="34" t="s">
        <v>98</v>
      </c>
      <c r="D103" s="35"/>
      <c r="E103" s="67" t="s">
        <v>18</v>
      </c>
      <c r="F103" s="68">
        <v>0</v>
      </c>
      <c r="G103" s="71">
        <v>98</v>
      </c>
      <c r="H103" s="71">
        <f t="shared" si="2"/>
        <v>0</v>
      </c>
      <c r="I103" s="91" t="s">
        <v>99</v>
      </c>
      <c r="J103" s="82">
        <v>65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</row>
    <row r="104" s="4" customFormat="1" ht="46" spans="1:249">
      <c r="A104" s="59" t="s">
        <v>100</v>
      </c>
      <c r="B104" s="60"/>
      <c r="C104" s="34" t="s">
        <v>101</v>
      </c>
      <c r="D104" s="35"/>
      <c r="E104" s="67" t="s">
        <v>18</v>
      </c>
      <c r="F104" s="68">
        <v>0</v>
      </c>
      <c r="G104" s="71">
        <v>168</v>
      </c>
      <c r="H104" s="71">
        <f t="shared" si="2"/>
        <v>0</v>
      </c>
      <c r="I104" s="83" t="s">
        <v>151</v>
      </c>
      <c r="J104" s="82">
        <v>100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</row>
    <row r="105" s="6" customFormat="1" ht="42" customHeight="1" spans="1:249">
      <c r="A105" s="61"/>
      <c r="B105" s="62"/>
      <c r="C105" s="63" t="s">
        <v>103</v>
      </c>
      <c r="D105" s="63"/>
      <c r="E105" s="67" t="s">
        <v>28</v>
      </c>
      <c r="F105" s="68">
        <v>0</v>
      </c>
      <c r="G105" s="71">
        <v>168</v>
      </c>
      <c r="H105" s="71">
        <f t="shared" si="2"/>
        <v>0</v>
      </c>
      <c r="I105" s="83" t="s">
        <v>104</v>
      </c>
      <c r="J105" s="82">
        <v>100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</row>
    <row r="106" s="6" customFormat="1" ht="46" spans="1:249">
      <c r="A106" s="61"/>
      <c r="B106" s="62"/>
      <c r="C106" s="63" t="s">
        <v>105</v>
      </c>
      <c r="D106" s="63"/>
      <c r="E106" s="67" t="s">
        <v>18</v>
      </c>
      <c r="F106" s="68">
        <v>0</v>
      </c>
      <c r="G106" s="71">
        <v>240</v>
      </c>
      <c r="H106" s="71">
        <f t="shared" si="2"/>
        <v>0</v>
      </c>
      <c r="I106" s="83" t="s">
        <v>106</v>
      </c>
      <c r="J106" s="82">
        <v>140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</row>
    <row r="107" s="6" customFormat="1" ht="42" customHeight="1" spans="1:249">
      <c r="A107" s="61"/>
      <c r="B107" s="62"/>
      <c r="C107" s="34" t="s">
        <v>107</v>
      </c>
      <c r="D107" s="35"/>
      <c r="E107" s="67" t="s">
        <v>18</v>
      </c>
      <c r="F107" s="68">
        <v>0</v>
      </c>
      <c r="G107" s="71">
        <v>188</v>
      </c>
      <c r="H107" s="71">
        <f t="shared" si="2"/>
        <v>0</v>
      </c>
      <c r="I107" s="92" t="s">
        <v>108</v>
      </c>
      <c r="J107" s="82">
        <v>110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</row>
    <row r="108" s="6" customFormat="1" ht="46" spans="1:249">
      <c r="A108" s="61"/>
      <c r="B108" s="62"/>
      <c r="C108" s="34" t="s">
        <v>109</v>
      </c>
      <c r="D108" s="35"/>
      <c r="E108" s="67" t="s">
        <v>18</v>
      </c>
      <c r="F108" s="68">
        <v>0</v>
      </c>
      <c r="G108" s="71">
        <v>238</v>
      </c>
      <c r="H108" s="71">
        <f t="shared" si="2"/>
        <v>0</v>
      </c>
      <c r="I108" s="92" t="s">
        <v>110</v>
      </c>
      <c r="J108" s="82">
        <v>150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</row>
    <row r="109" s="6" customFormat="1" ht="46" spans="1:249">
      <c r="A109" s="61"/>
      <c r="B109" s="62"/>
      <c r="C109" s="34" t="s">
        <v>111</v>
      </c>
      <c r="D109" s="35"/>
      <c r="E109" s="67" t="s">
        <v>18</v>
      </c>
      <c r="F109" s="68">
        <v>0</v>
      </c>
      <c r="G109" s="71">
        <v>188</v>
      </c>
      <c r="H109" s="71">
        <f t="shared" si="2"/>
        <v>0</v>
      </c>
      <c r="I109" s="83" t="s">
        <v>102</v>
      </c>
      <c r="J109" s="82">
        <v>110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</row>
    <row r="110" s="6" customFormat="1" ht="46" spans="1:249">
      <c r="A110" s="61"/>
      <c r="B110" s="62"/>
      <c r="C110" s="34" t="s">
        <v>112</v>
      </c>
      <c r="D110" s="35"/>
      <c r="E110" s="67" t="s">
        <v>18</v>
      </c>
      <c r="F110" s="68">
        <v>0</v>
      </c>
      <c r="G110" s="71">
        <v>198</v>
      </c>
      <c r="H110" s="71">
        <f t="shared" si="2"/>
        <v>0</v>
      </c>
      <c r="I110" s="83" t="s">
        <v>102</v>
      </c>
      <c r="J110" s="82">
        <v>110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</row>
    <row r="111" s="6" customFormat="1" ht="46" spans="1:249">
      <c r="A111" s="61"/>
      <c r="B111" s="62"/>
      <c r="C111" s="34" t="s">
        <v>113</v>
      </c>
      <c r="D111" s="35"/>
      <c r="E111" s="67" t="s">
        <v>18</v>
      </c>
      <c r="F111" s="71">
        <f>0.9*7.71+1.57*3.21+0.13*11.1</f>
        <v>13.4217</v>
      </c>
      <c r="G111" s="71">
        <v>258</v>
      </c>
      <c r="H111" s="71">
        <f t="shared" si="2"/>
        <v>3462.7986</v>
      </c>
      <c r="I111" s="83" t="s">
        <v>114</v>
      </c>
      <c r="J111" s="82">
        <v>150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</row>
    <row r="112" s="6" customFormat="1" ht="61" spans="1:249">
      <c r="A112" s="61"/>
      <c r="B112" s="62"/>
      <c r="C112" s="34" t="s">
        <v>115</v>
      </c>
      <c r="D112" s="35"/>
      <c r="E112" s="67" t="s">
        <v>28</v>
      </c>
      <c r="F112" s="68">
        <v>0</v>
      </c>
      <c r="G112" s="71">
        <v>208</v>
      </c>
      <c r="H112" s="71">
        <f t="shared" si="2"/>
        <v>0</v>
      </c>
      <c r="I112" s="83" t="s">
        <v>116</v>
      </c>
      <c r="J112" s="82">
        <v>110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</row>
    <row r="113" s="6" customFormat="1" ht="42" customHeight="1" spans="1:249">
      <c r="A113" s="61"/>
      <c r="B113" s="62"/>
      <c r="C113" s="34" t="s">
        <v>117</v>
      </c>
      <c r="D113" s="35"/>
      <c r="E113" s="67" t="s">
        <v>28</v>
      </c>
      <c r="F113" s="71">
        <f>9.8+6.9</f>
        <v>16.7</v>
      </c>
      <c r="G113" s="71">
        <v>80</v>
      </c>
      <c r="H113" s="71">
        <f t="shared" si="2"/>
        <v>1336</v>
      </c>
      <c r="I113" s="83" t="s">
        <v>118</v>
      </c>
      <c r="J113" s="82">
        <v>50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</row>
    <row r="114" s="6" customFormat="1" ht="42" customHeight="1" spans="1:249">
      <c r="A114" s="61"/>
      <c r="B114" s="62"/>
      <c r="C114" s="34" t="s">
        <v>119</v>
      </c>
      <c r="D114" s="35"/>
      <c r="E114" s="67" t="s">
        <v>28</v>
      </c>
      <c r="F114" s="68">
        <v>0</v>
      </c>
      <c r="G114" s="71">
        <v>100</v>
      </c>
      <c r="H114" s="71">
        <f t="shared" si="2"/>
        <v>0</v>
      </c>
      <c r="I114" s="83" t="s">
        <v>118</v>
      </c>
      <c r="J114" s="82">
        <v>60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</row>
    <row r="115" s="6" customFormat="1" ht="42" customHeight="1" spans="1:249">
      <c r="A115" s="61"/>
      <c r="B115" s="62"/>
      <c r="C115" s="34" t="s">
        <v>120</v>
      </c>
      <c r="D115" s="35"/>
      <c r="E115" s="67" t="s">
        <v>28</v>
      </c>
      <c r="F115" s="68">
        <v>0</v>
      </c>
      <c r="G115" s="71">
        <v>40</v>
      </c>
      <c r="H115" s="71">
        <f t="shared" si="2"/>
        <v>0</v>
      </c>
      <c r="I115" s="83"/>
      <c r="J115" s="82">
        <v>20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</row>
    <row r="116" s="6" customFormat="1" ht="42" customHeight="1" spans="1:249">
      <c r="A116" s="61"/>
      <c r="B116" s="62"/>
      <c r="C116" s="34" t="s">
        <v>121</v>
      </c>
      <c r="D116" s="35"/>
      <c r="E116" s="67" t="s">
        <v>28</v>
      </c>
      <c r="F116" s="71">
        <f>13+1.89+11</f>
        <v>25.89</v>
      </c>
      <c r="G116" s="71">
        <v>50</v>
      </c>
      <c r="H116" s="71">
        <f t="shared" si="2"/>
        <v>1294.5</v>
      </c>
      <c r="I116" s="83" t="s">
        <v>122</v>
      </c>
      <c r="J116" s="82">
        <v>35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</row>
    <row r="117" s="4" customFormat="1" ht="17.6" spans="1:249">
      <c r="A117" s="61"/>
      <c r="B117" s="62"/>
      <c r="C117" s="34" t="s">
        <v>123</v>
      </c>
      <c r="D117" s="35"/>
      <c r="E117" s="67" t="s">
        <v>28</v>
      </c>
      <c r="F117" s="71">
        <f>7.7</f>
        <v>7.7</v>
      </c>
      <c r="G117" s="71">
        <v>60</v>
      </c>
      <c r="H117" s="71">
        <f t="shared" si="2"/>
        <v>462</v>
      </c>
      <c r="I117" s="83" t="s">
        <v>124</v>
      </c>
      <c r="J117" s="82">
        <v>40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</row>
    <row r="118" s="4" customFormat="1" ht="17.6" spans="1:249">
      <c r="A118" s="61"/>
      <c r="B118" s="62"/>
      <c r="C118" s="34" t="s">
        <v>125</v>
      </c>
      <c r="D118" s="35"/>
      <c r="E118" s="67" t="s">
        <v>28</v>
      </c>
      <c r="F118" s="71">
        <v>6</v>
      </c>
      <c r="G118" s="71">
        <v>200</v>
      </c>
      <c r="H118" s="71">
        <f t="shared" si="2"/>
        <v>1200</v>
      </c>
      <c r="I118" s="83" t="s">
        <v>126</v>
      </c>
      <c r="J118" s="82">
        <v>130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</row>
    <row r="119" s="4" customFormat="1" ht="31" spans="1:249">
      <c r="A119" s="61"/>
      <c r="B119" s="62"/>
      <c r="C119" s="63" t="s">
        <v>127</v>
      </c>
      <c r="D119" s="63"/>
      <c r="E119" s="67" t="s">
        <v>28</v>
      </c>
      <c r="F119" s="71">
        <v>6.1</v>
      </c>
      <c r="G119" s="71">
        <v>208</v>
      </c>
      <c r="H119" s="71">
        <f t="shared" si="2"/>
        <v>1268.8</v>
      </c>
      <c r="I119" s="83" t="s">
        <v>152</v>
      </c>
      <c r="J119" s="82">
        <v>130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</row>
    <row r="120" s="4" customFormat="1" ht="25" customHeight="1" spans="1:249">
      <c r="A120" s="61"/>
      <c r="B120" s="62"/>
      <c r="C120" s="63" t="s">
        <v>129</v>
      </c>
      <c r="D120" s="63"/>
      <c r="E120" s="70" t="s">
        <v>49</v>
      </c>
      <c r="F120" s="71">
        <v>4</v>
      </c>
      <c r="G120" s="71">
        <v>600</v>
      </c>
      <c r="H120" s="71">
        <f t="shared" si="2"/>
        <v>2400</v>
      </c>
      <c r="I120" s="83" t="s">
        <v>130</v>
      </c>
      <c r="J120" s="82">
        <v>400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</row>
    <row r="121" s="4" customFormat="1" ht="25" customHeight="1" spans="1:249">
      <c r="A121" s="61"/>
      <c r="B121" s="62"/>
      <c r="C121" s="34" t="s">
        <v>131</v>
      </c>
      <c r="D121" s="35"/>
      <c r="E121" s="67" t="s">
        <v>28</v>
      </c>
      <c r="F121" s="68">
        <v>0</v>
      </c>
      <c r="G121" s="71">
        <v>60</v>
      </c>
      <c r="H121" s="71">
        <f t="shared" si="2"/>
        <v>0</v>
      </c>
      <c r="I121" s="83" t="s">
        <v>124</v>
      </c>
      <c r="J121" s="82">
        <v>40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</row>
    <row r="122" s="4" customFormat="1" ht="46" spans="1:249">
      <c r="A122" s="61"/>
      <c r="B122" s="62"/>
      <c r="C122" s="63" t="s">
        <v>105</v>
      </c>
      <c r="D122" s="63"/>
      <c r="E122" s="67" t="s">
        <v>18</v>
      </c>
      <c r="F122" s="68">
        <v>0</v>
      </c>
      <c r="G122" s="71">
        <v>240</v>
      </c>
      <c r="H122" s="71">
        <f t="shared" si="2"/>
        <v>0</v>
      </c>
      <c r="I122" s="83" t="s">
        <v>132</v>
      </c>
      <c r="J122" s="82">
        <v>140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</row>
    <row r="123" s="4" customFormat="1" ht="46" spans="1:249">
      <c r="A123" s="93"/>
      <c r="B123" s="94"/>
      <c r="C123" s="34" t="s">
        <v>133</v>
      </c>
      <c r="D123" s="35"/>
      <c r="E123" s="67" t="s">
        <v>18</v>
      </c>
      <c r="F123" s="68">
        <v>0</v>
      </c>
      <c r="G123" s="71">
        <v>208</v>
      </c>
      <c r="H123" s="71">
        <f t="shared" si="2"/>
        <v>0</v>
      </c>
      <c r="I123" s="83" t="s">
        <v>134</v>
      </c>
      <c r="J123" s="82">
        <v>110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</row>
    <row r="124" s="4" customFormat="1" ht="46" spans="1:249">
      <c r="A124" s="95" t="s">
        <v>135</v>
      </c>
      <c r="B124" s="60"/>
      <c r="C124" s="34" t="s">
        <v>136</v>
      </c>
      <c r="D124" s="35"/>
      <c r="E124" s="67" t="s">
        <v>18</v>
      </c>
      <c r="F124" s="71">
        <f>SUM(E80)</f>
        <v>20</v>
      </c>
      <c r="G124" s="71">
        <v>47</v>
      </c>
      <c r="H124" s="71">
        <f t="shared" si="2"/>
        <v>940</v>
      </c>
      <c r="I124" s="83" t="s">
        <v>137</v>
      </c>
      <c r="J124" s="82">
        <v>35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</row>
    <row r="125" s="4" customFormat="1" ht="31" spans="1:249">
      <c r="A125" s="61"/>
      <c r="B125" s="62"/>
      <c r="C125" s="34" t="s">
        <v>138</v>
      </c>
      <c r="D125" s="35"/>
      <c r="E125" s="67" t="s">
        <v>18</v>
      </c>
      <c r="F125" s="71">
        <f>SUM(F124:F124)</f>
        <v>20</v>
      </c>
      <c r="G125" s="71">
        <v>18</v>
      </c>
      <c r="H125" s="71">
        <f t="shared" si="2"/>
        <v>360</v>
      </c>
      <c r="I125" s="96" t="s">
        <v>139</v>
      </c>
      <c r="J125" s="82">
        <v>10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</row>
    <row r="126" s="4" customFormat="1" ht="46" spans="1:249">
      <c r="A126" s="61"/>
      <c r="B126" s="62"/>
      <c r="C126" s="52" t="s">
        <v>140</v>
      </c>
      <c r="D126" s="53"/>
      <c r="E126" s="67" t="s">
        <v>18</v>
      </c>
      <c r="F126" s="71">
        <f>SUM(G80*I80)</f>
        <v>58.2</v>
      </c>
      <c r="G126" s="71">
        <v>47</v>
      </c>
      <c r="H126" s="71">
        <f t="shared" si="2"/>
        <v>2735.4</v>
      </c>
      <c r="I126" s="83" t="s">
        <v>141</v>
      </c>
      <c r="J126" s="82">
        <v>35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</row>
    <row r="127" s="4" customFormat="1" ht="31" spans="1:249">
      <c r="A127" s="93"/>
      <c r="B127" s="94"/>
      <c r="C127" s="52" t="s">
        <v>142</v>
      </c>
      <c r="D127" s="53"/>
      <c r="E127" s="67" t="s">
        <v>18</v>
      </c>
      <c r="F127" s="71">
        <f>SUM(F126:F126)</f>
        <v>58.2</v>
      </c>
      <c r="G127" s="71">
        <v>18</v>
      </c>
      <c r="H127" s="71">
        <f t="shared" si="2"/>
        <v>1047.6</v>
      </c>
      <c r="I127" s="96" t="s">
        <v>139</v>
      </c>
      <c r="J127" s="82">
        <v>10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</row>
    <row r="128" ht="25" customHeight="1" spans="1:10">
      <c r="A128" s="36" t="s">
        <v>57</v>
      </c>
      <c r="B128" s="37"/>
      <c r="C128" s="38"/>
      <c r="D128" s="38"/>
      <c r="E128" s="37"/>
      <c r="F128" s="37"/>
      <c r="G128" s="37"/>
      <c r="H128" s="73">
        <f>SUM(H81:H127)</f>
        <v>19883.0986</v>
      </c>
      <c r="I128" s="87"/>
      <c r="J128" s="97"/>
    </row>
    <row r="129" s="7" customFormat="1" ht="25" customHeight="1" spans="1:249">
      <c r="A129" s="39" t="s">
        <v>153</v>
      </c>
      <c r="B129" s="40"/>
      <c r="C129" s="40"/>
      <c r="D129" s="41" t="s">
        <v>13</v>
      </c>
      <c r="E129" s="41">
        <v>0</v>
      </c>
      <c r="F129" s="41" t="s">
        <v>14</v>
      </c>
      <c r="G129" s="41">
        <v>0</v>
      </c>
      <c r="H129" s="41" t="s">
        <v>15</v>
      </c>
      <c r="I129" s="88">
        <v>2.45</v>
      </c>
      <c r="J129" s="111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2"/>
      <c r="BE129" s="112"/>
      <c r="BF129" s="112"/>
      <c r="BG129" s="112"/>
      <c r="BH129" s="112"/>
      <c r="BI129" s="112"/>
      <c r="BJ129" s="112"/>
      <c r="BK129" s="112"/>
      <c r="BL129" s="112"/>
      <c r="BM129" s="112"/>
      <c r="BN129" s="112"/>
      <c r="BO129" s="112"/>
      <c r="BP129" s="112"/>
      <c r="BQ129" s="112"/>
      <c r="BR129" s="112"/>
      <c r="BS129" s="112"/>
      <c r="BT129" s="112"/>
      <c r="BU129" s="112"/>
      <c r="BV129" s="112"/>
      <c r="BW129" s="112"/>
      <c r="BX129" s="112"/>
      <c r="BY129" s="112"/>
      <c r="BZ129" s="112"/>
      <c r="CA129" s="112"/>
      <c r="CB129" s="112"/>
      <c r="CC129" s="112"/>
      <c r="CD129" s="112"/>
      <c r="CE129" s="112"/>
      <c r="CF129" s="112"/>
      <c r="CG129" s="112"/>
      <c r="CH129" s="112"/>
      <c r="CI129" s="112"/>
      <c r="CJ129" s="112"/>
      <c r="CK129" s="112"/>
      <c r="CL129" s="112"/>
      <c r="CM129" s="112"/>
      <c r="CN129" s="112"/>
      <c r="CO129" s="112"/>
      <c r="CP129" s="112"/>
      <c r="CQ129" s="112"/>
      <c r="CR129" s="112"/>
      <c r="CS129" s="112"/>
      <c r="CT129" s="112"/>
      <c r="CU129" s="112"/>
      <c r="CV129" s="112"/>
      <c r="CW129" s="112"/>
      <c r="CX129" s="112"/>
      <c r="CY129" s="112"/>
      <c r="CZ129" s="112"/>
      <c r="DA129" s="112"/>
      <c r="DB129" s="112"/>
      <c r="DC129" s="112"/>
      <c r="DD129" s="112"/>
      <c r="DE129" s="112"/>
      <c r="DF129" s="112"/>
      <c r="DG129" s="112"/>
      <c r="DH129" s="112"/>
      <c r="DI129" s="112"/>
      <c r="DJ129" s="112"/>
      <c r="DK129" s="112"/>
      <c r="DL129" s="112"/>
      <c r="DM129" s="112"/>
      <c r="DN129" s="112"/>
      <c r="DO129" s="112"/>
      <c r="DP129" s="112"/>
      <c r="DQ129" s="112"/>
      <c r="DR129" s="112"/>
      <c r="DS129" s="112"/>
      <c r="DT129" s="112"/>
      <c r="DU129" s="112"/>
      <c r="DV129" s="112"/>
      <c r="DW129" s="112"/>
      <c r="DX129" s="112"/>
      <c r="DY129" s="112"/>
      <c r="DZ129" s="112"/>
      <c r="EA129" s="112"/>
      <c r="EB129" s="112"/>
      <c r="EC129" s="112"/>
      <c r="ED129" s="112"/>
      <c r="EE129" s="112"/>
      <c r="EF129" s="112"/>
      <c r="EG129" s="112"/>
      <c r="EH129" s="112"/>
      <c r="EI129" s="112"/>
      <c r="EJ129" s="112"/>
      <c r="EK129" s="112"/>
      <c r="EL129" s="112"/>
      <c r="EM129" s="112"/>
      <c r="EN129" s="112"/>
      <c r="EO129" s="112"/>
      <c r="EP129" s="112"/>
      <c r="EQ129" s="112"/>
      <c r="ER129" s="112"/>
      <c r="ES129" s="112"/>
      <c r="ET129" s="112"/>
      <c r="EU129" s="112"/>
      <c r="EV129" s="112"/>
      <c r="EW129" s="112"/>
      <c r="EX129" s="112"/>
      <c r="EY129" s="112"/>
      <c r="EZ129" s="112"/>
      <c r="FA129" s="112"/>
      <c r="FB129" s="112"/>
      <c r="FC129" s="112"/>
      <c r="FD129" s="112"/>
      <c r="FE129" s="112"/>
      <c r="FF129" s="112"/>
      <c r="FG129" s="112"/>
      <c r="FH129" s="112"/>
      <c r="FI129" s="112"/>
      <c r="FJ129" s="112"/>
      <c r="FK129" s="112"/>
      <c r="FL129" s="112"/>
      <c r="FM129" s="112"/>
      <c r="FN129" s="112"/>
      <c r="FO129" s="112"/>
      <c r="FP129" s="112"/>
      <c r="FQ129" s="112"/>
      <c r="FR129" s="112"/>
      <c r="FS129" s="112"/>
      <c r="FT129" s="112"/>
      <c r="FU129" s="112"/>
      <c r="FV129" s="112"/>
      <c r="FW129" s="112"/>
      <c r="FX129" s="112"/>
      <c r="FY129" s="112"/>
      <c r="FZ129" s="112"/>
      <c r="GA129" s="112"/>
      <c r="GB129" s="112"/>
      <c r="GC129" s="112"/>
      <c r="GD129" s="112"/>
      <c r="GE129" s="112"/>
      <c r="GF129" s="112"/>
      <c r="GG129" s="112"/>
      <c r="GH129" s="112"/>
      <c r="GI129" s="112"/>
      <c r="GJ129" s="112"/>
      <c r="GK129" s="112"/>
      <c r="GL129" s="112"/>
      <c r="GM129" s="112"/>
      <c r="GN129" s="112"/>
      <c r="GO129" s="112"/>
      <c r="GP129" s="112"/>
      <c r="GQ129" s="112"/>
      <c r="GR129" s="112"/>
      <c r="GS129" s="112"/>
      <c r="GT129" s="112"/>
      <c r="GU129" s="112"/>
      <c r="GV129" s="112"/>
      <c r="GW129" s="112"/>
      <c r="GX129" s="112"/>
      <c r="GY129" s="112"/>
      <c r="GZ129" s="112"/>
      <c r="HA129" s="112"/>
      <c r="HB129" s="112"/>
      <c r="HC129" s="112"/>
      <c r="HD129" s="112"/>
      <c r="HE129" s="112"/>
      <c r="HF129" s="112"/>
      <c r="HG129" s="112"/>
      <c r="HH129" s="112"/>
      <c r="HI129" s="112"/>
      <c r="HJ129" s="112"/>
      <c r="HK129" s="112"/>
      <c r="HL129" s="112"/>
      <c r="HM129" s="112"/>
      <c r="HN129" s="112"/>
      <c r="HO129" s="112"/>
      <c r="HP129" s="112"/>
      <c r="HQ129" s="112"/>
      <c r="HR129" s="112"/>
      <c r="HS129" s="112"/>
      <c r="HT129" s="112"/>
      <c r="HU129" s="112"/>
      <c r="HV129" s="112"/>
      <c r="HW129" s="112"/>
      <c r="HX129" s="112"/>
      <c r="HY129" s="112"/>
      <c r="HZ129" s="112"/>
      <c r="IA129" s="112"/>
      <c r="IB129" s="112"/>
      <c r="IC129" s="112"/>
      <c r="ID129" s="112"/>
      <c r="IE129" s="112"/>
      <c r="IF129" s="112"/>
      <c r="IG129" s="112"/>
      <c r="IH129" s="112"/>
      <c r="II129" s="112"/>
      <c r="IJ129" s="112"/>
      <c r="IK129" s="112"/>
      <c r="IL129" s="112"/>
      <c r="IM129" s="112"/>
      <c r="IN129" s="112"/>
      <c r="IO129" s="112"/>
    </row>
    <row r="130" s="7" customFormat="1" ht="31" spans="1:249">
      <c r="A130" s="42">
        <v>1</v>
      </c>
      <c r="B130" s="43"/>
      <c r="C130" s="34" t="s">
        <v>144</v>
      </c>
      <c r="D130" s="35"/>
      <c r="E130" s="72" t="s">
        <v>26</v>
      </c>
      <c r="F130" s="68">
        <v>0</v>
      </c>
      <c r="G130" s="71">
        <v>280</v>
      </c>
      <c r="H130" s="68">
        <f t="shared" ref="H130:H132" si="3">F130*G130</f>
        <v>0</v>
      </c>
      <c r="I130" s="81" t="s">
        <v>154</v>
      </c>
      <c r="J130" s="113">
        <v>200</v>
      </c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4"/>
      <c r="AH130" s="114"/>
      <c r="AI130" s="114"/>
      <c r="AJ130" s="114"/>
      <c r="AK130" s="114"/>
      <c r="AL130" s="114"/>
      <c r="AM130" s="114"/>
      <c r="AN130" s="114"/>
      <c r="AO130" s="114"/>
      <c r="AP130" s="114"/>
      <c r="AQ130" s="114"/>
      <c r="AR130" s="114"/>
      <c r="AS130" s="114"/>
      <c r="AT130" s="114"/>
      <c r="AU130" s="114"/>
      <c r="AV130" s="114"/>
      <c r="AW130" s="114"/>
      <c r="AX130" s="114"/>
      <c r="AY130" s="114"/>
      <c r="AZ130" s="114"/>
      <c r="BA130" s="114"/>
      <c r="BB130" s="114"/>
      <c r="BC130" s="114"/>
      <c r="BD130" s="114"/>
      <c r="BE130" s="114"/>
      <c r="BF130" s="114"/>
      <c r="BG130" s="114"/>
      <c r="BH130" s="114"/>
      <c r="BI130" s="114"/>
      <c r="BJ130" s="114"/>
      <c r="BK130" s="114"/>
      <c r="BL130" s="114"/>
      <c r="BM130" s="114"/>
      <c r="BN130" s="114"/>
      <c r="BO130" s="114"/>
      <c r="BP130" s="114"/>
      <c r="BQ130" s="114"/>
      <c r="BR130" s="114"/>
      <c r="BS130" s="114"/>
      <c r="BT130" s="114"/>
      <c r="BU130" s="114"/>
      <c r="BV130" s="114"/>
      <c r="BW130" s="114"/>
      <c r="BX130" s="114"/>
      <c r="BY130" s="114"/>
      <c r="BZ130" s="114"/>
      <c r="CA130" s="114"/>
      <c r="CB130" s="114"/>
      <c r="CC130" s="114"/>
      <c r="CD130" s="114"/>
      <c r="CE130" s="114"/>
      <c r="CF130" s="114"/>
      <c r="CG130" s="114"/>
      <c r="CH130" s="114"/>
      <c r="CI130" s="114"/>
      <c r="CJ130" s="114"/>
      <c r="CK130" s="114"/>
      <c r="CL130" s="114"/>
      <c r="CM130" s="114"/>
      <c r="CN130" s="114"/>
      <c r="CO130" s="114"/>
      <c r="CP130" s="114"/>
      <c r="CQ130" s="114"/>
      <c r="CR130" s="114"/>
      <c r="CS130" s="114"/>
      <c r="CT130" s="114"/>
      <c r="CU130" s="114"/>
      <c r="CV130" s="114"/>
      <c r="CW130" s="114"/>
      <c r="CX130" s="114"/>
      <c r="CY130" s="114"/>
      <c r="CZ130" s="114"/>
      <c r="DA130" s="114"/>
      <c r="DB130" s="114"/>
      <c r="DC130" s="114"/>
      <c r="DD130" s="114"/>
      <c r="DE130" s="114"/>
      <c r="DF130" s="114"/>
      <c r="DG130" s="114"/>
      <c r="DH130" s="114"/>
      <c r="DI130" s="114"/>
      <c r="DJ130" s="114"/>
      <c r="DK130" s="114"/>
      <c r="DL130" s="114"/>
      <c r="DM130" s="114"/>
      <c r="DN130" s="114"/>
      <c r="DO130" s="114"/>
      <c r="DP130" s="114"/>
      <c r="DQ130" s="114"/>
      <c r="DR130" s="114"/>
      <c r="DS130" s="114"/>
      <c r="DT130" s="114"/>
      <c r="DU130" s="114"/>
      <c r="DV130" s="114"/>
      <c r="DW130" s="114"/>
      <c r="DX130" s="114"/>
      <c r="DY130" s="114"/>
      <c r="DZ130" s="114"/>
      <c r="EA130" s="114"/>
      <c r="EB130" s="114"/>
      <c r="EC130" s="114"/>
      <c r="ED130" s="114"/>
      <c r="EE130" s="114"/>
      <c r="EF130" s="114"/>
      <c r="EG130" s="114"/>
      <c r="EH130" s="114"/>
      <c r="EI130" s="114"/>
      <c r="EJ130" s="114"/>
      <c r="EK130" s="114"/>
      <c r="EL130" s="114"/>
      <c r="EM130" s="114"/>
      <c r="EN130" s="114"/>
      <c r="EO130" s="114"/>
      <c r="EP130" s="114"/>
      <c r="EQ130" s="114"/>
      <c r="ER130" s="114"/>
      <c r="ES130" s="114"/>
      <c r="ET130" s="114"/>
      <c r="EU130" s="114"/>
      <c r="EV130" s="114"/>
      <c r="EW130" s="114"/>
      <c r="EX130" s="114"/>
      <c r="EY130" s="114"/>
      <c r="EZ130" s="114"/>
      <c r="FA130" s="114"/>
      <c r="FB130" s="114"/>
      <c r="FC130" s="114"/>
      <c r="FD130" s="114"/>
      <c r="FE130" s="114"/>
      <c r="FF130" s="114"/>
      <c r="FG130" s="114"/>
      <c r="FH130" s="114"/>
      <c r="FI130" s="114"/>
      <c r="FJ130" s="114"/>
      <c r="FK130" s="114"/>
      <c r="FL130" s="114"/>
      <c r="FM130" s="114"/>
      <c r="FN130" s="114"/>
      <c r="FO130" s="114"/>
      <c r="FP130" s="114"/>
      <c r="FQ130" s="114"/>
      <c r="FR130" s="114"/>
      <c r="FS130" s="114"/>
      <c r="FT130" s="114"/>
      <c r="FU130" s="114"/>
      <c r="FV130" s="114"/>
      <c r="FW130" s="114"/>
      <c r="FX130" s="114"/>
      <c r="FY130" s="114"/>
      <c r="FZ130" s="114"/>
      <c r="GA130" s="114"/>
      <c r="GB130" s="114"/>
      <c r="GC130" s="114"/>
      <c r="GD130" s="114"/>
      <c r="GE130" s="114"/>
      <c r="GF130" s="114"/>
      <c r="GG130" s="114"/>
      <c r="GH130" s="114"/>
      <c r="GI130" s="114"/>
      <c r="GJ130" s="114"/>
      <c r="GK130" s="114"/>
      <c r="GL130" s="114"/>
      <c r="GM130" s="114"/>
      <c r="GN130" s="114"/>
      <c r="GO130" s="114"/>
      <c r="GP130" s="114"/>
      <c r="GQ130" s="114"/>
      <c r="GR130" s="114"/>
      <c r="GS130" s="114"/>
      <c r="GT130" s="114"/>
      <c r="GU130" s="114"/>
      <c r="GV130" s="114"/>
      <c r="GW130" s="114"/>
      <c r="GX130" s="114"/>
      <c r="GY130" s="114"/>
      <c r="GZ130" s="114"/>
      <c r="HA130" s="114"/>
      <c r="HB130" s="114"/>
      <c r="HC130" s="114"/>
      <c r="HD130" s="114"/>
      <c r="HE130" s="114"/>
      <c r="HF130" s="114"/>
      <c r="HG130" s="114"/>
      <c r="HH130" s="114"/>
      <c r="HI130" s="114"/>
      <c r="HJ130" s="114"/>
      <c r="HK130" s="114"/>
      <c r="HL130" s="114"/>
      <c r="HM130" s="114"/>
      <c r="HN130" s="114"/>
      <c r="HO130" s="114"/>
      <c r="HP130" s="114"/>
      <c r="HQ130" s="114"/>
      <c r="HR130" s="114"/>
      <c r="HS130" s="114"/>
      <c r="HT130" s="114"/>
      <c r="HU130" s="114"/>
      <c r="HV130" s="114"/>
      <c r="HW130" s="114"/>
      <c r="HX130" s="114"/>
      <c r="HY130" s="114"/>
      <c r="HZ130" s="114"/>
      <c r="IA130" s="114"/>
      <c r="IB130" s="114"/>
      <c r="IC130" s="114"/>
      <c r="ID130" s="114"/>
      <c r="IE130" s="114"/>
      <c r="IF130" s="114"/>
      <c r="IG130" s="114"/>
      <c r="IH130" s="114"/>
      <c r="II130" s="114"/>
      <c r="IJ130" s="114"/>
      <c r="IK130" s="114"/>
      <c r="IL130" s="114"/>
      <c r="IM130" s="114"/>
      <c r="IN130" s="114"/>
      <c r="IO130" s="114"/>
    </row>
    <row r="131" s="7" customFormat="1" ht="31" spans="1:249">
      <c r="A131" s="42">
        <v>2</v>
      </c>
      <c r="B131" s="43"/>
      <c r="C131" s="34" t="s">
        <v>146</v>
      </c>
      <c r="D131" s="35"/>
      <c r="E131" s="72" t="s">
        <v>26</v>
      </c>
      <c r="F131" s="68">
        <v>0</v>
      </c>
      <c r="G131" s="71">
        <v>380</v>
      </c>
      <c r="H131" s="68">
        <f t="shared" si="3"/>
        <v>0</v>
      </c>
      <c r="I131" s="81" t="s">
        <v>154</v>
      </c>
      <c r="J131" s="113">
        <v>300</v>
      </c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  <c r="AD131" s="114"/>
      <c r="AE131" s="114"/>
      <c r="AF131" s="114"/>
      <c r="AG131" s="114"/>
      <c r="AH131" s="114"/>
      <c r="AI131" s="114"/>
      <c r="AJ131" s="114"/>
      <c r="AK131" s="114"/>
      <c r="AL131" s="114"/>
      <c r="AM131" s="114"/>
      <c r="AN131" s="114"/>
      <c r="AO131" s="114"/>
      <c r="AP131" s="114"/>
      <c r="AQ131" s="114"/>
      <c r="AR131" s="114"/>
      <c r="AS131" s="114"/>
      <c r="AT131" s="114"/>
      <c r="AU131" s="114"/>
      <c r="AV131" s="114"/>
      <c r="AW131" s="114"/>
      <c r="AX131" s="114"/>
      <c r="AY131" s="114"/>
      <c r="AZ131" s="114"/>
      <c r="BA131" s="114"/>
      <c r="BB131" s="114"/>
      <c r="BC131" s="114"/>
      <c r="BD131" s="114"/>
      <c r="BE131" s="114"/>
      <c r="BF131" s="114"/>
      <c r="BG131" s="114"/>
      <c r="BH131" s="114"/>
      <c r="BI131" s="114"/>
      <c r="BJ131" s="114"/>
      <c r="BK131" s="114"/>
      <c r="BL131" s="114"/>
      <c r="BM131" s="114"/>
      <c r="BN131" s="114"/>
      <c r="BO131" s="114"/>
      <c r="BP131" s="114"/>
      <c r="BQ131" s="114"/>
      <c r="BR131" s="114"/>
      <c r="BS131" s="114"/>
      <c r="BT131" s="114"/>
      <c r="BU131" s="114"/>
      <c r="BV131" s="114"/>
      <c r="BW131" s="114"/>
      <c r="BX131" s="114"/>
      <c r="BY131" s="114"/>
      <c r="BZ131" s="114"/>
      <c r="CA131" s="114"/>
      <c r="CB131" s="114"/>
      <c r="CC131" s="114"/>
      <c r="CD131" s="114"/>
      <c r="CE131" s="114"/>
      <c r="CF131" s="114"/>
      <c r="CG131" s="114"/>
      <c r="CH131" s="114"/>
      <c r="CI131" s="114"/>
      <c r="CJ131" s="114"/>
      <c r="CK131" s="114"/>
      <c r="CL131" s="114"/>
      <c r="CM131" s="114"/>
      <c r="CN131" s="114"/>
      <c r="CO131" s="114"/>
      <c r="CP131" s="114"/>
      <c r="CQ131" s="114"/>
      <c r="CR131" s="114"/>
      <c r="CS131" s="114"/>
      <c r="CT131" s="114"/>
      <c r="CU131" s="114"/>
      <c r="CV131" s="114"/>
      <c r="CW131" s="114"/>
      <c r="CX131" s="114"/>
      <c r="CY131" s="114"/>
      <c r="CZ131" s="114"/>
      <c r="DA131" s="114"/>
      <c r="DB131" s="114"/>
      <c r="DC131" s="114"/>
      <c r="DD131" s="114"/>
      <c r="DE131" s="114"/>
      <c r="DF131" s="114"/>
      <c r="DG131" s="114"/>
      <c r="DH131" s="114"/>
      <c r="DI131" s="114"/>
      <c r="DJ131" s="114"/>
      <c r="DK131" s="114"/>
      <c r="DL131" s="114"/>
      <c r="DM131" s="114"/>
      <c r="DN131" s="114"/>
      <c r="DO131" s="114"/>
      <c r="DP131" s="114"/>
      <c r="DQ131" s="114"/>
      <c r="DR131" s="114"/>
      <c r="DS131" s="114"/>
      <c r="DT131" s="114"/>
      <c r="DU131" s="114"/>
      <c r="DV131" s="114"/>
      <c r="DW131" s="114"/>
      <c r="DX131" s="114"/>
      <c r="DY131" s="114"/>
      <c r="DZ131" s="114"/>
      <c r="EA131" s="114"/>
      <c r="EB131" s="114"/>
      <c r="EC131" s="114"/>
      <c r="ED131" s="114"/>
      <c r="EE131" s="114"/>
      <c r="EF131" s="114"/>
      <c r="EG131" s="114"/>
      <c r="EH131" s="114"/>
      <c r="EI131" s="114"/>
      <c r="EJ131" s="114"/>
      <c r="EK131" s="114"/>
      <c r="EL131" s="114"/>
      <c r="EM131" s="114"/>
      <c r="EN131" s="114"/>
      <c r="EO131" s="114"/>
      <c r="EP131" s="114"/>
      <c r="EQ131" s="114"/>
      <c r="ER131" s="114"/>
      <c r="ES131" s="114"/>
      <c r="ET131" s="114"/>
      <c r="EU131" s="114"/>
      <c r="EV131" s="114"/>
      <c r="EW131" s="114"/>
      <c r="EX131" s="114"/>
      <c r="EY131" s="114"/>
      <c r="EZ131" s="114"/>
      <c r="FA131" s="114"/>
      <c r="FB131" s="114"/>
      <c r="FC131" s="114"/>
      <c r="FD131" s="114"/>
      <c r="FE131" s="114"/>
      <c r="FF131" s="114"/>
      <c r="FG131" s="114"/>
      <c r="FH131" s="114"/>
      <c r="FI131" s="114"/>
      <c r="FJ131" s="114"/>
      <c r="FK131" s="114"/>
      <c r="FL131" s="114"/>
      <c r="FM131" s="114"/>
      <c r="FN131" s="114"/>
      <c r="FO131" s="114"/>
      <c r="FP131" s="114"/>
      <c r="FQ131" s="114"/>
      <c r="FR131" s="114"/>
      <c r="FS131" s="114"/>
      <c r="FT131" s="114"/>
      <c r="FU131" s="114"/>
      <c r="FV131" s="114"/>
      <c r="FW131" s="114"/>
      <c r="FX131" s="114"/>
      <c r="FY131" s="114"/>
      <c r="FZ131" s="114"/>
      <c r="GA131" s="114"/>
      <c r="GB131" s="114"/>
      <c r="GC131" s="114"/>
      <c r="GD131" s="114"/>
      <c r="GE131" s="114"/>
      <c r="GF131" s="114"/>
      <c r="GG131" s="114"/>
      <c r="GH131" s="114"/>
      <c r="GI131" s="114"/>
      <c r="GJ131" s="114"/>
      <c r="GK131" s="114"/>
      <c r="GL131" s="114"/>
      <c r="GM131" s="114"/>
      <c r="GN131" s="114"/>
      <c r="GO131" s="114"/>
      <c r="GP131" s="114"/>
      <c r="GQ131" s="114"/>
      <c r="GR131" s="114"/>
      <c r="GS131" s="114"/>
      <c r="GT131" s="114"/>
      <c r="GU131" s="114"/>
      <c r="GV131" s="114"/>
      <c r="GW131" s="114"/>
      <c r="GX131" s="114"/>
      <c r="GY131" s="114"/>
      <c r="GZ131" s="114"/>
      <c r="HA131" s="114"/>
      <c r="HB131" s="114"/>
      <c r="HC131" s="114"/>
      <c r="HD131" s="114"/>
      <c r="HE131" s="114"/>
      <c r="HF131" s="114"/>
      <c r="HG131" s="114"/>
      <c r="HH131" s="114"/>
      <c r="HI131" s="114"/>
      <c r="HJ131" s="114"/>
      <c r="HK131" s="114"/>
      <c r="HL131" s="114"/>
      <c r="HM131" s="114"/>
      <c r="HN131" s="114"/>
      <c r="HO131" s="114"/>
      <c r="HP131" s="114"/>
      <c r="HQ131" s="114"/>
      <c r="HR131" s="114"/>
      <c r="HS131" s="114"/>
      <c r="HT131" s="114"/>
      <c r="HU131" s="114"/>
      <c r="HV131" s="114"/>
      <c r="HW131" s="114"/>
      <c r="HX131" s="114"/>
      <c r="HY131" s="114"/>
      <c r="HZ131" s="114"/>
      <c r="IA131" s="114"/>
      <c r="IB131" s="114"/>
      <c r="IC131" s="114"/>
      <c r="ID131" s="114"/>
      <c r="IE131" s="114"/>
      <c r="IF131" s="114"/>
      <c r="IG131" s="114"/>
      <c r="IH131" s="114"/>
      <c r="II131" s="114"/>
      <c r="IJ131" s="114"/>
      <c r="IK131" s="114"/>
      <c r="IL131" s="114"/>
      <c r="IM131" s="114"/>
      <c r="IN131" s="114"/>
      <c r="IO131" s="114"/>
    </row>
    <row r="132" s="7" customFormat="1" ht="31" spans="1:249">
      <c r="A132" s="42">
        <v>3</v>
      </c>
      <c r="B132" s="43"/>
      <c r="C132" s="34" t="s">
        <v>147</v>
      </c>
      <c r="D132" s="35"/>
      <c r="E132" s="72" t="s">
        <v>26</v>
      </c>
      <c r="F132" s="68">
        <v>0</v>
      </c>
      <c r="G132" s="71">
        <v>480</v>
      </c>
      <c r="H132" s="68">
        <f t="shared" si="3"/>
        <v>0</v>
      </c>
      <c r="I132" s="81" t="s">
        <v>154</v>
      </c>
      <c r="J132" s="113">
        <v>400</v>
      </c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  <c r="AD132" s="114"/>
      <c r="AE132" s="114"/>
      <c r="AF132" s="114"/>
      <c r="AG132" s="114"/>
      <c r="AH132" s="114"/>
      <c r="AI132" s="114"/>
      <c r="AJ132" s="114"/>
      <c r="AK132" s="114"/>
      <c r="AL132" s="114"/>
      <c r="AM132" s="114"/>
      <c r="AN132" s="114"/>
      <c r="AO132" s="114"/>
      <c r="AP132" s="114"/>
      <c r="AQ132" s="114"/>
      <c r="AR132" s="114"/>
      <c r="AS132" s="114"/>
      <c r="AT132" s="114"/>
      <c r="AU132" s="114"/>
      <c r="AV132" s="114"/>
      <c r="AW132" s="114"/>
      <c r="AX132" s="114"/>
      <c r="AY132" s="114"/>
      <c r="AZ132" s="114"/>
      <c r="BA132" s="114"/>
      <c r="BB132" s="114"/>
      <c r="BC132" s="114"/>
      <c r="BD132" s="114"/>
      <c r="BE132" s="114"/>
      <c r="BF132" s="114"/>
      <c r="BG132" s="114"/>
      <c r="BH132" s="114"/>
      <c r="BI132" s="114"/>
      <c r="BJ132" s="114"/>
      <c r="BK132" s="114"/>
      <c r="BL132" s="114"/>
      <c r="BM132" s="114"/>
      <c r="BN132" s="114"/>
      <c r="BO132" s="114"/>
      <c r="BP132" s="114"/>
      <c r="BQ132" s="114"/>
      <c r="BR132" s="114"/>
      <c r="BS132" s="114"/>
      <c r="BT132" s="114"/>
      <c r="BU132" s="114"/>
      <c r="BV132" s="114"/>
      <c r="BW132" s="114"/>
      <c r="BX132" s="114"/>
      <c r="BY132" s="114"/>
      <c r="BZ132" s="114"/>
      <c r="CA132" s="114"/>
      <c r="CB132" s="114"/>
      <c r="CC132" s="114"/>
      <c r="CD132" s="114"/>
      <c r="CE132" s="114"/>
      <c r="CF132" s="114"/>
      <c r="CG132" s="114"/>
      <c r="CH132" s="114"/>
      <c r="CI132" s="114"/>
      <c r="CJ132" s="114"/>
      <c r="CK132" s="114"/>
      <c r="CL132" s="114"/>
      <c r="CM132" s="114"/>
      <c r="CN132" s="114"/>
      <c r="CO132" s="114"/>
      <c r="CP132" s="114"/>
      <c r="CQ132" s="114"/>
      <c r="CR132" s="114"/>
      <c r="CS132" s="114"/>
      <c r="CT132" s="114"/>
      <c r="CU132" s="114"/>
      <c r="CV132" s="114"/>
      <c r="CW132" s="114"/>
      <c r="CX132" s="114"/>
      <c r="CY132" s="114"/>
      <c r="CZ132" s="114"/>
      <c r="DA132" s="114"/>
      <c r="DB132" s="114"/>
      <c r="DC132" s="114"/>
      <c r="DD132" s="114"/>
      <c r="DE132" s="114"/>
      <c r="DF132" s="114"/>
      <c r="DG132" s="114"/>
      <c r="DH132" s="114"/>
      <c r="DI132" s="114"/>
      <c r="DJ132" s="114"/>
      <c r="DK132" s="114"/>
      <c r="DL132" s="114"/>
      <c r="DM132" s="114"/>
      <c r="DN132" s="114"/>
      <c r="DO132" s="114"/>
      <c r="DP132" s="114"/>
      <c r="DQ132" s="114"/>
      <c r="DR132" s="114"/>
      <c r="DS132" s="114"/>
      <c r="DT132" s="114"/>
      <c r="DU132" s="114"/>
      <c r="DV132" s="114"/>
      <c r="DW132" s="114"/>
      <c r="DX132" s="114"/>
      <c r="DY132" s="114"/>
      <c r="DZ132" s="114"/>
      <c r="EA132" s="114"/>
      <c r="EB132" s="114"/>
      <c r="EC132" s="114"/>
      <c r="ED132" s="114"/>
      <c r="EE132" s="114"/>
      <c r="EF132" s="114"/>
      <c r="EG132" s="114"/>
      <c r="EH132" s="114"/>
      <c r="EI132" s="114"/>
      <c r="EJ132" s="114"/>
      <c r="EK132" s="114"/>
      <c r="EL132" s="114"/>
      <c r="EM132" s="114"/>
      <c r="EN132" s="114"/>
      <c r="EO132" s="114"/>
      <c r="EP132" s="114"/>
      <c r="EQ132" s="114"/>
      <c r="ER132" s="114"/>
      <c r="ES132" s="114"/>
      <c r="ET132" s="114"/>
      <c r="EU132" s="114"/>
      <c r="EV132" s="114"/>
      <c r="EW132" s="114"/>
      <c r="EX132" s="114"/>
      <c r="EY132" s="114"/>
      <c r="EZ132" s="114"/>
      <c r="FA132" s="114"/>
      <c r="FB132" s="114"/>
      <c r="FC132" s="114"/>
      <c r="FD132" s="114"/>
      <c r="FE132" s="114"/>
      <c r="FF132" s="114"/>
      <c r="FG132" s="114"/>
      <c r="FH132" s="114"/>
      <c r="FI132" s="114"/>
      <c r="FJ132" s="114"/>
      <c r="FK132" s="114"/>
      <c r="FL132" s="114"/>
      <c r="FM132" s="114"/>
      <c r="FN132" s="114"/>
      <c r="FO132" s="114"/>
      <c r="FP132" s="114"/>
      <c r="FQ132" s="114"/>
      <c r="FR132" s="114"/>
      <c r="FS132" s="114"/>
      <c r="FT132" s="114"/>
      <c r="FU132" s="114"/>
      <c r="FV132" s="114"/>
      <c r="FW132" s="114"/>
      <c r="FX132" s="114"/>
      <c r="FY132" s="114"/>
      <c r="FZ132" s="114"/>
      <c r="GA132" s="114"/>
      <c r="GB132" s="114"/>
      <c r="GC132" s="114"/>
      <c r="GD132" s="114"/>
      <c r="GE132" s="114"/>
      <c r="GF132" s="114"/>
      <c r="GG132" s="114"/>
      <c r="GH132" s="114"/>
      <c r="GI132" s="114"/>
      <c r="GJ132" s="114"/>
      <c r="GK132" s="114"/>
      <c r="GL132" s="114"/>
      <c r="GM132" s="114"/>
      <c r="GN132" s="114"/>
      <c r="GO132" s="114"/>
      <c r="GP132" s="114"/>
      <c r="GQ132" s="114"/>
      <c r="GR132" s="114"/>
      <c r="GS132" s="114"/>
      <c r="GT132" s="114"/>
      <c r="GU132" s="114"/>
      <c r="GV132" s="114"/>
      <c r="GW132" s="114"/>
      <c r="GX132" s="114"/>
      <c r="GY132" s="114"/>
      <c r="GZ132" s="114"/>
      <c r="HA132" s="114"/>
      <c r="HB132" s="114"/>
      <c r="HC132" s="114"/>
      <c r="HD132" s="114"/>
      <c r="HE132" s="114"/>
      <c r="HF132" s="114"/>
      <c r="HG132" s="114"/>
      <c r="HH132" s="114"/>
      <c r="HI132" s="114"/>
      <c r="HJ132" s="114"/>
      <c r="HK132" s="114"/>
      <c r="HL132" s="114"/>
      <c r="HM132" s="114"/>
      <c r="HN132" s="114"/>
      <c r="HO132" s="114"/>
      <c r="HP132" s="114"/>
      <c r="HQ132" s="114"/>
      <c r="HR132" s="114"/>
      <c r="HS132" s="114"/>
      <c r="HT132" s="114"/>
      <c r="HU132" s="114"/>
      <c r="HV132" s="114"/>
      <c r="HW132" s="114"/>
      <c r="HX132" s="114"/>
      <c r="HY132" s="114"/>
      <c r="HZ132" s="114"/>
      <c r="IA132" s="114"/>
      <c r="IB132" s="114"/>
      <c r="IC132" s="114"/>
      <c r="ID132" s="114"/>
      <c r="IE132" s="114"/>
      <c r="IF132" s="114"/>
      <c r="IG132" s="114"/>
      <c r="IH132" s="114"/>
      <c r="II132" s="114"/>
      <c r="IJ132" s="114"/>
      <c r="IK132" s="114"/>
      <c r="IL132" s="114"/>
      <c r="IM132" s="114"/>
      <c r="IN132" s="114"/>
      <c r="IO132" s="114"/>
    </row>
    <row r="133" ht="25" customHeight="1" spans="1:9">
      <c r="A133" s="36" t="s">
        <v>57</v>
      </c>
      <c r="B133" s="37"/>
      <c r="C133" s="38"/>
      <c r="D133" s="38"/>
      <c r="E133" s="37"/>
      <c r="F133" s="37"/>
      <c r="G133" s="37"/>
      <c r="H133" s="73">
        <f>SUM(H130:H132)</f>
        <v>0</v>
      </c>
      <c r="I133" s="87"/>
    </row>
    <row r="134" s="3" customFormat="1" ht="25" customHeight="1" spans="1:249">
      <c r="A134" s="39" t="s">
        <v>155</v>
      </c>
      <c r="B134" s="40"/>
      <c r="C134" s="40"/>
      <c r="D134" s="41" t="s">
        <v>13</v>
      </c>
      <c r="E134" s="41">
        <v>5.8</v>
      </c>
      <c r="F134" s="41" t="s">
        <v>14</v>
      </c>
      <c r="G134" s="41">
        <v>12</v>
      </c>
      <c r="H134" s="41" t="s">
        <v>15</v>
      </c>
      <c r="I134" s="88">
        <f>I5-0.36-0.1</f>
        <v>2.45</v>
      </c>
      <c r="J134" s="80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1"/>
      <c r="HB134" s="11"/>
      <c r="HC134" s="11"/>
      <c r="HD134" s="11"/>
      <c r="HE134" s="11"/>
      <c r="HF134" s="11"/>
      <c r="HG134" s="11"/>
      <c r="HH134" s="11"/>
      <c r="HI134" s="11"/>
      <c r="HJ134" s="11"/>
      <c r="HK134" s="11"/>
      <c r="HL134" s="11"/>
      <c r="HM134" s="11"/>
      <c r="HN134" s="11"/>
      <c r="HO134" s="11"/>
      <c r="HP134" s="11"/>
      <c r="HQ134" s="11"/>
      <c r="HR134" s="11"/>
      <c r="HS134" s="11"/>
      <c r="HT134" s="11"/>
      <c r="HU134" s="11"/>
      <c r="HV134" s="11"/>
      <c r="HW134" s="11"/>
      <c r="HX134" s="11"/>
      <c r="HY134" s="11"/>
      <c r="HZ134" s="11"/>
      <c r="IA134" s="11"/>
      <c r="IB134" s="11"/>
      <c r="IC134" s="11"/>
      <c r="ID134" s="11"/>
      <c r="IE134" s="11"/>
      <c r="IF134" s="11"/>
      <c r="IG134" s="11"/>
      <c r="IH134" s="11"/>
      <c r="II134" s="11"/>
      <c r="IJ134" s="11"/>
      <c r="IK134" s="11"/>
      <c r="IL134" s="11"/>
      <c r="IM134" s="11"/>
      <c r="IN134" s="11"/>
      <c r="IO134" s="11"/>
    </row>
    <row r="135" s="4" customFormat="1" ht="25" customHeight="1" spans="1:249">
      <c r="A135" s="42">
        <v>1</v>
      </c>
      <c r="B135" s="43"/>
      <c r="C135" s="34" t="s">
        <v>59</v>
      </c>
      <c r="D135" s="35"/>
      <c r="E135" s="67" t="s">
        <v>28</v>
      </c>
      <c r="F135" s="68">
        <v>0</v>
      </c>
      <c r="G135" s="71">
        <v>100</v>
      </c>
      <c r="H135" s="71">
        <f t="shared" ref="H135:H168" si="4">F135*G135</f>
        <v>0</v>
      </c>
      <c r="I135" s="83" t="s">
        <v>60</v>
      </c>
      <c r="J135" s="17">
        <v>50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</row>
    <row r="136" s="4" customFormat="1" ht="25" customHeight="1" spans="1:249">
      <c r="A136" s="42">
        <v>2</v>
      </c>
      <c r="B136" s="43"/>
      <c r="C136" s="34" t="s">
        <v>63</v>
      </c>
      <c r="D136" s="35"/>
      <c r="E136" s="67" t="s">
        <v>18</v>
      </c>
      <c r="F136" s="68">
        <v>0</v>
      </c>
      <c r="G136" s="71">
        <v>12</v>
      </c>
      <c r="H136" s="71">
        <f t="shared" si="4"/>
        <v>0</v>
      </c>
      <c r="I136" s="81" t="s">
        <v>64</v>
      </c>
      <c r="J136" s="17">
        <v>12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</row>
    <row r="137" s="4" customFormat="1" ht="25" customHeight="1" spans="1:249">
      <c r="A137" s="42">
        <v>2</v>
      </c>
      <c r="B137" s="43"/>
      <c r="C137" s="34" t="s">
        <v>156</v>
      </c>
      <c r="D137" s="35"/>
      <c r="E137" s="67" t="s">
        <v>18</v>
      </c>
      <c r="F137" s="68">
        <v>0</v>
      </c>
      <c r="G137" s="71">
        <v>228</v>
      </c>
      <c r="H137" s="68">
        <f t="shared" si="4"/>
        <v>0</v>
      </c>
      <c r="I137" s="115" t="s">
        <v>157</v>
      </c>
      <c r="J137" s="17">
        <v>150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</row>
    <row r="138" s="4" customFormat="1" ht="25" customHeight="1" spans="1:249">
      <c r="A138" s="42">
        <v>3</v>
      </c>
      <c r="B138" s="43"/>
      <c r="C138" s="34" t="s">
        <v>158</v>
      </c>
      <c r="D138" s="35"/>
      <c r="E138" s="67" t="s">
        <v>18</v>
      </c>
      <c r="F138" s="68">
        <v>0</v>
      </c>
      <c r="G138" s="71">
        <v>58</v>
      </c>
      <c r="H138" s="68">
        <f t="shared" si="4"/>
        <v>0</v>
      </c>
      <c r="I138" s="115" t="s">
        <v>159</v>
      </c>
      <c r="J138" s="17">
        <v>30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</row>
    <row r="139" s="4" customFormat="1" ht="76" spans="1:249">
      <c r="A139" s="95" t="s">
        <v>65</v>
      </c>
      <c r="B139" s="60"/>
      <c r="C139" s="34" t="s">
        <v>66</v>
      </c>
      <c r="D139" s="35"/>
      <c r="E139" s="67" t="s">
        <v>18</v>
      </c>
      <c r="F139" s="68">
        <v>0</v>
      </c>
      <c r="G139" s="71">
        <v>65</v>
      </c>
      <c r="H139" s="71">
        <f t="shared" si="4"/>
        <v>0</v>
      </c>
      <c r="I139" s="83" t="s">
        <v>67</v>
      </c>
      <c r="J139" s="17">
        <v>35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</row>
    <row r="140" s="4" customFormat="1" ht="76" spans="1:249">
      <c r="A140" s="93"/>
      <c r="B140" s="94"/>
      <c r="C140" s="34" t="s">
        <v>68</v>
      </c>
      <c r="D140" s="35"/>
      <c r="E140" s="67" t="s">
        <v>18</v>
      </c>
      <c r="F140" s="68">
        <v>0</v>
      </c>
      <c r="G140" s="71">
        <v>65</v>
      </c>
      <c r="H140" s="71">
        <f t="shared" si="4"/>
        <v>0</v>
      </c>
      <c r="I140" s="83" t="s">
        <v>69</v>
      </c>
      <c r="J140" s="17">
        <v>35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</row>
    <row r="141" s="4" customFormat="1" ht="31" customHeight="1" spans="1:249">
      <c r="A141" s="56" t="s">
        <v>93</v>
      </c>
      <c r="B141" s="45"/>
      <c r="C141" s="34" t="s">
        <v>94</v>
      </c>
      <c r="D141" s="35"/>
      <c r="E141" s="67" t="s">
        <v>18</v>
      </c>
      <c r="F141" s="68">
        <v>0</v>
      </c>
      <c r="G141" s="71">
        <v>58</v>
      </c>
      <c r="H141" s="71">
        <f t="shared" si="4"/>
        <v>0</v>
      </c>
      <c r="I141" s="91" t="s">
        <v>95</v>
      </c>
      <c r="J141" s="82">
        <v>40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</row>
    <row r="142" s="4" customFormat="1" ht="25" customHeight="1" spans="1:249">
      <c r="A142" s="57"/>
      <c r="B142" s="58"/>
      <c r="C142" s="34" t="s">
        <v>96</v>
      </c>
      <c r="D142" s="35"/>
      <c r="E142" s="67" t="s">
        <v>18</v>
      </c>
      <c r="F142" s="68">
        <v>0</v>
      </c>
      <c r="G142" s="71">
        <v>78</v>
      </c>
      <c r="H142" s="71">
        <f t="shared" si="4"/>
        <v>0</v>
      </c>
      <c r="I142" s="91" t="s">
        <v>160</v>
      </c>
      <c r="J142" s="82">
        <v>50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</row>
    <row r="143" s="4" customFormat="1" ht="25" customHeight="1" spans="1:249">
      <c r="A143" s="46"/>
      <c r="B143" s="47"/>
      <c r="C143" s="34" t="s">
        <v>98</v>
      </c>
      <c r="D143" s="35"/>
      <c r="E143" s="67" t="s">
        <v>18</v>
      </c>
      <c r="F143" s="68">
        <v>0</v>
      </c>
      <c r="G143" s="71">
        <v>98</v>
      </c>
      <c r="H143" s="71">
        <f t="shared" si="4"/>
        <v>0</v>
      </c>
      <c r="I143" s="91" t="s">
        <v>99</v>
      </c>
      <c r="J143" s="82">
        <v>65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</row>
    <row r="144" s="4" customFormat="1" ht="31" spans="1:249">
      <c r="A144" s="95" t="s">
        <v>70</v>
      </c>
      <c r="B144" s="60"/>
      <c r="C144" s="34" t="s">
        <v>71</v>
      </c>
      <c r="D144" s="35"/>
      <c r="E144" s="67" t="s">
        <v>18</v>
      </c>
      <c r="F144" s="68">
        <v>0</v>
      </c>
      <c r="G144" s="71">
        <v>150</v>
      </c>
      <c r="H144" s="71">
        <f t="shared" si="4"/>
        <v>0</v>
      </c>
      <c r="I144" s="83" t="s">
        <v>72</v>
      </c>
      <c r="J144" s="82">
        <v>90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</row>
    <row r="145" s="4" customFormat="1" ht="31" spans="1:249">
      <c r="A145" s="61"/>
      <c r="B145" s="62"/>
      <c r="C145" s="34" t="s">
        <v>73</v>
      </c>
      <c r="D145" s="35"/>
      <c r="E145" s="67" t="s">
        <v>18</v>
      </c>
      <c r="F145" s="68">
        <v>0</v>
      </c>
      <c r="G145" s="71">
        <v>160</v>
      </c>
      <c r="H145" s="71">
        <f t="shared" si="4"/>
        <v>0</v>
      </c>
      <c r="I145" s="83" t="s">
        <v>72</v>
      </c>
      <c r="J145" s="82">
        <v>100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</row>
    <row r="146" s="4" customFormat="1" ht="31" spans="1:249">
      <c r="A146" s="61"/>
      <c r="B146" s="62"/>
      <c r="C146" s="52" t="s">
        <v>74</v>
      </c>
      <c r="D146" s="53"/>
      <c r="E146" s="67" t="s">
        <v>18</v>
      </c>
      <c r="F146" s="68">
        <v>0</v>
      </c>
      <c r="G146" s="71">
        <v>170</v>
      </c>
      <c r="H146" s="71">
        <f t="shared" si="4"/>
        <v>0</v>
      </c>
      <c r="I146" s="83" t="s">
        <v>72</v>
      </c>
      <c r="J146" s="82">
        <v>105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</row>
    <row r="147" s="4" customFormat="1" ht="31" spans="1:249">
      <c r="A147" s="61"/>
      <c r="B147" s="62"/>
      <c r="C147" s="52" t="s">
        <v>75</v>
      </c>
      <c r="D147" s="53"/>
      <c r="E147" s="67" t="s">
        <v>18</v>
      </c>
      <c r="F147" s="68">
        <v>0</v>
      </c>
      <c r="G147" s="71">
        <v>200</v>
      </c>
      <c r="H147" s="71">
        <f t="shared" si="4"/>
        <v>0</v>
      </c>
      <c r="I147" s="83" t="s">
        <v>72</v>
      </c>
      <c r="J147" s="82">
        <v>120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</row>
    <row r="148" s="4" customFormat="1" ht="46" spans="1:249">
      <c r="A148" s="50"/>
      <c r="B148" s="51"/>
      <c r="C148" s="52" t="s">
        <v>76</v>
      </c>
      <c r="D148" s="53"/>
      <c r="E148" s="67" t="s">
        <v>18</v>
      </c>
      <c r="F148" s="68">
        <v>0</v>
      </c>
      <c r="G148" s="71">
        <v>185</v>
      </c>
      <c r="H148" s="71">
        <f t="shared" si="4"/>
        <v>0</v>
      </c>
      <c r="I148" s="83" t="s">
        <v>77</v>
      </c>
      <c r="J148" s="90">
        <v>115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</row>
    <row r="149" s="4" customFormat="1" ht="31" spans="1:249">
      <c r="A149" s="50"/>
      <c r="B149" s="51"/>
      <c r="C149" s="52" t="s">
        <v>78</v>
      </c>
      <c r="D149" s="53"/>
      <c r="E149" s="67" t="s">
        <v>18</v>
      </c>
      <c r="F149" s="68">
        <v>0</v>
      </c>
      <c r="G149" s="71">
        <v>195</v>
      </c>
      <c r="H149" s="71">
        <f t="shared" si="4"/>
        <v>0</v>
      </c>
      <c r="I149" s="83" t="s">
        <v>72</v>
      </c>
      <c r="J149" s="90">
        <v>120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</row>
    <row r="150" s="4" customFormat="1" ht="31" spans="1:249">
      <c r="A150" s="50"/>
      <c r="B150" s="51"/>
      <c r="C150" s="52" t="s">
        <v>79</v>
      </c>
      <c r="D150" s="53"/>
      <c r="E150" s="67" t="s">
        <v>18</v>
      </c>
      <c r="F150" s="68">
        <v>0</v>
      </c>
      <c r="G150" s="71">
        <v>190</v>
      </c>
      <c r="H150" s="71">
        <f t="shared" si="4"/>
        <v>0</v>
      </c>
      <c r="I150" s="83" t="s">
        <v>72</v>
      </c>
      <c r="J150" s="90">
        <v>120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</row>
    <row r="151" s="4" customFormat="1" ht="31" spans="1:249">
      <c r="A151" s="50"/>
      <c r="B151" s="51"/>
      <c r="C151" s="52" t="s">
        <v>80</v>
      </c>
      <c r="D151" s="53"/>
      <c r="E151" s="67" t="s">
        <v>18</v>
      </c>
      <c r="F151" s="68">
        <v>0</v>
      </c>
      <c r="G151" s="71">
        <v>200</v>
      </c>
      <c r="H151" s="71">
        <f t="shared" si="4"/>
        <v>0</v>
      </c>
      <c r="I151" s="81" t="s">
        <v>81</v>
      </c>
      <c r="J151" s="90">
        <v>140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</row>
    <row r="152" s="4" customFormat="1" ht="31" spans="1:249">
      <c r="A152" s="50"/>
      <c r="B152" s="51"/>
      <c r="C152" s="52" t="s">
        <v>82</v>
      </c>
      <c r="D152" s="53"/>
      <c r="E152" s="67" t="s">
        <v>18</v>
      </c>
      <c r="F152" s="68">
        <v>0</v>
      </c>
      <c r="G152" s="71">
        <v>200</v>
      </c>
      <c r="H152" s="71">
        <f t="shared" si="4"/>
        <v>0</v>
      </c>
      <c r="I152" s="81" t="s">
        <v>81</v>
      </c>
      <c r="J152" s="90">
        <v>140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</row>
    <row r="153" s="4" customFormat="1" ht="31" spans="1:249">
      <c r="A153" s="50"/>
      <c r="B153" s="51"/>
      <c r="C153" s="52" t="s">
        <v>83</v>
      </c>
      <c r="D153" s="53"/>
      <c r="E153" s="67" t="s">
        <v>18</v>
      </c>
      <c r="F153" s="68">
        <v>0</v>
      </c>
      <c r="G153" s="71">
        <v>200</v>
      </c>
      <c r="H153" s="71">
        <f t="shared" si="4"/>
        <v>0</v>
      </c>
      <c r="I153" s="81" t="s">
        <v>81</v>
      </c>
      <c r="J153" s="90">
        <v>140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</row>
    <row r="154" s="4" customFormat="1" ht="31" spans="1:249">
      <c r="A154" s="50"/>
      <c r="B154" s="51"/>
      <c r="C154" s="52" t="s">
        <v>84</v>
      </c>
      <c r="D154" s="53"/>
      <c r="E154" s="67" t="s">
        <v>18</v>
      </c>
      <c r="F154" s="68">
        <v>0</v>
      </c>
      <c r="G154" s="71">
        <v>180</v>
      </c>
      <c r="H154" s="71">
        <f t="shared" si="4"/>
        <v>0</v>
      </c>
      <c r="I154" s="81" t="s">
        <v>81</v>
      </c>
      <c r="J154" s="90">
        <v>110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</row>
    <row r="155" s="4" customFormat="1" ht="25" customHeight="1" spans="1:249">
      <c r="A155" s="61"/>
      <c r="B155" s="62"/>
      <c r="C155" s="34" t="s">
        <v>85</v>
      </c>
      <c r="D155" s="35"/>
      <c r="E155" s="67" t="s">
        <v>18</v>
      </c>
      <c r="F155" s="68">
        <v>0</v>
      </c>
      <c r="G155" s="71">
        <v>160</v>
      </c>
      <c r="H155" s="71">
        <f t="shared" si="4"/>
        <v>0</v>
      </c>
      <c r="I155" s="81" t="s">
        <v>81</v>
      </c>
      <c r="J155" s="82">
        <v>100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</row>
    <row r="156" s="4" customFormat="1" ht="25" customHeight="1" spans="1:249">
      <c r="A156" s="61"/>
      <c r="B156" s="62"/>
      <c r="C156" s="52" t="s">
        <v>86</v>
      </c>
      <c r="D156" s="53"/>
      <c r="E156" s="67" t="s">
        <v>18</v>
      </c>
      <c r="F156" s="68">
        <v>0</v>
      </c>
      <c r="G156" s="71">
        <v>170</v>
      </c>
      <c r="H156" s="71">
        <f t="shared" si="4"/>
        <v>0</v>
      </c>
      <c r="I156" s="81" t="s">
        <v>81</v>
      </c>
      <c r="J156" s="82">
        <v>105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</row>
    <row r="157" s="4" customFormat="1" ht="25" customHeight="1" spans="1:249">
      <c r="A157" s="61"/>
      <c r="B157" s="62"/>
      <c r="C157" s="52" t="s">
        <v>87</v>
      </c>
      <c r="D157" s="53"/>
      <c r="E157" s="67" t="s">
        <v>18</v>
      </c>
      <c r="F157" s="68">
        <v>0</v>
      </c>
      <c r="G157" s="71">
        <v>180</v>
      </c>
      <c r="H157" s="71">
        <f t="shared" si="4"/>
        <v>0</v>
      </c>
      <c r="I157" s="81" t="s">
        <v>81</v>
      </c>
      <c r="J157" s="82">
        <v>110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</row>
    <row r="158" s="4" customFormat="1" ht="25" customHeight="1" spans="1:249">
      <c r="A158" s="61"/>
      <c r="B158" s="62"/>
      <c r="C158" s="52" t="s">
        <v>88</v>
      </c>
      <c r="D158" s="53"/>
      <c r="E158" s="67" t="s">
        <v>18</v>
      </c>
      <c r="F158" s="68">
        <v>0</v>
      </c>
      <c r="G158" s="71">
        <v>220</v>
      </c>
      <c r="H158" s="71">
        <f t="shared" si="4"/>
        <v>0</v>
      </c>
      <c r="I158" s="81" t="s">
        <v>81</v>
      </c>
      <c r="J158" s="82">
        <v>130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</row>
    <row r="159" s="4" customFormat="1" ht="17.6" spans="1:249">
      <c r="A159" s="50"/>
      <c r="B159" s="51"/>
      <c r="C159" s="52" t="s">
        <v>89</v>
      </c>
      <c r="D159" s="53"/>
      <c r="E159" s="67" t="s">
        <v>18</v>
      </c>
      <c r="F159" s="68">
        <v>0</v>
      </c>
      <c r="G159" s="71">
        <v>10</v>
      </c>
      <c r="H159" s="71">
        <f t="shared" si="4"/>
        <v>0</v>
      </c>
      <c r="I159" s="83" t="s">
        <v>90</v>
      </c>
      <c r="J159" s="90">
        <v>5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</row>
    <row r="160" s="4" customFormat="1" ht="25" customHeight="1" spans="1:249">
      <c r="A160" s="61"/>
      <c r="B160" s="62"/>
      <c r="C160" s="52" t="s">
        <v>91</v>
      </c>
      <c r="D160" s="53"/>
      <c r="E160" s="67" t="s">
        <v>18</v>
      </c>
      <c r="F160" s="68">
        <v>0</v>
      </c>
      <c r="G160" s="71">
        <v>20</v>
      </c>
      <c r="H160" s="71">
        <f t="shared" si="4"/>
        <v>0</v>
      </c>
      <c r="I160" s="91" t="s">
        <v>92</v>
      </c>
      <c r="J160" s="82">
        <v>10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</row>
    <row r="161" s="4" customFormat="1" ht="25" customHeight="1" spans="1:249">
      <c r="A161" s="61"/>
      <c r="B161" s="62"/>
      <c r="C161" s="34" t="s">
        <v>161</v>
      </c>
      <c r="D161" s="35"/>
      <c r="E161" s="67" t="s">
        <v>28</v>
      </c>
      <c r="F161" s="71">
        <v>0.9</v>
      </c>
      <c r="G161" s="71">
        <v>100</v>
      </c>
      <c r="H161" s="71">
        <f t="shared" si="4"/>
        <v>90</v>
      </c>
      <c r="I161" s="83" t="s">
        <v>60</v>
      </c>
      <c r="J161" s="17">
        <v>70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</row>
    <row r="162" s="4" customFormat="1" ht="25" customHeight="1" spans="1:249">
      <c r="A162" s="93"/>
      <c r="B162" s="94"/>
      <c r="C162" s="52" t="s">
        <v>162</v>
      </c>
      <c r="D162" s="53"/>
      <c r="E162" s="72" t="s">
        <v>26</v>
      </c>
      <c r="F162" s="71">
        <v>1</v>
      </c>
      <c r="G162" s="71">
        <v>499</v>
      </c>
      <c r="H162" s="71">
        <f t="shared" si="4"/>
        <v>499</v>
      </c>
      <c r="I162" s="81" t="s">
        <v>163</v>
      </c>
      <c r="J162" s="17">
        <v>300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</row>
    <row r="163" s="4" customFormat="1" ht="46" spans="1:249">
      <c r="A163" s="42"/>
      <c r="B163" s="43"/>
      <c r="C163" s="34" t="s">
        <v>112</v>
      </c>
      <c r="D163" s="35"/>
      <c r="E163" s="67" t="s">
        <v>18</v>
      </c>
      <c r="F163" s="71">
        <f>E134</f>
        <v>5.8</v>
      </c>
      <c r="G163" s="71">
        <v>198</v>
      </c>
      <c r="H163" s="71">
        <f t="shared" si="4"/>
        <v>1148.4</v>
      </c>
      <c r="I163" s="83" t="s">
        <v>102</v>
      </c>
      <c r="J163" s="17">
        <v>110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</row>
    <row r="164" s="4" customFormat="1" ht="46" spans="1:249">
      <c r="A164" s="42"/>
      <c r="B164" s="43"/>
      <c r="C164" s="34" t="s">
        <v>164</v>
      </c>
      <c r="D164" s="35"/>
      <c r="E164" s="67" t="s">
        <v>18</v>
      </c>
      <c r="F164" s="71">
        <f>F163</f>
        <v>5.8</v>
      </c>
      <c r="G164" s="71">
        <v>57</v>
      </c>
      <c r="H164" s="71">
        <f t="shared" si="4"/>
        <v>330.6</v>
      </c>
      <c r="I164" s="92" t="s">
        <v>137</v>
      </c>
      <c r="J164" s="17">
        <v>40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</row>
    <row r="165" s="4" customFormat="1" ht="17.6" spans="1:249">
      <c r="A165" s="42"/>
      <c r="B165" s="43"/>
      <c r="C165" s="34" t="s">
        <v>165</v>
      </c>
      <c r="D165" s="35"/>
      <c r="E165" s="70" t="s">
        <v>166</v>
      </c>
      <c r="F165" s="71">
        <v>1</v>
      </c>
      <c r="G165" s="71">
        <v>700</v>
      </c>
      <c r="H165" s="71">
        <f t="shared" si="4"/>
        <v>700</v>
      </c>
      <c r="I165" s="116" t="s">
        <v>167</v>
      </c>
      <c r="J165" s="17">
        <v>380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</row>
    <row r="166" s="4" customFormat="1" ht="31" spans="1:249">
      <c r="A166" s="42"/>
      <c r="B166" s="43"/>
      <c r="C166" s="34" t="s">
        <v>144</v>
      </c>
      <c r="D166" s="35"/>
      <c r="E166" s="72" t="s">
        <v>26</v>
      </c>
      <c r="F166" s="68">
        <v>0</v>
      </c>
      <c r="G166" s="71">
        <v>280</v>
      </c>
      <c r="H166" s="68">
        <f t="shared" si="4"/>
        <v>0</v>
      </c>
      <c r="I166" s="81" t="s">
        <v>154</v>
      </c>
      <c r="J166" s="17">
        <v>200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</row>
    <row r="167" s="4" customFormat="1" ht="31" spans="1:249">
      <c r="A167" s="42"/>
      <c r="B167" s="43"/>
      <c r="C167" s="34" t="s">
        <v>146</v>
      </c>
      <c r="D167" s="35"/>
      <c r="E167" s="72" t="s">
        <v>26</v>
      </c>
      <c r="F167" s="71">
        <v>1</v>
      </c>
      <c r="G167" s="71">
        <v>380</v>
      </c>
      <c r="H167" s="68">
        <f t="shared" si="4"/>
        <v>380</v>
      </c>
      <c r="I167" s="81" t="s">
        <v>154</v>
      </c>
      <c r="J167" s="17">
        <v>300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</row>
    <row r="168" s="4" customFormat="1" ht="31" spans="1:249">
      <c r="A168" s="42"/>
      <c r="B168" s="43"/>
      <c r="C168" s="34" t="s">
        <v>147</v>
      </c>
      <c r="D168" s="35"/>
      <c r="E168" s="72" t="s">
        <v>26</v>
      </c>
      <c r="F168" s="68">
        <v>0</v>
      </c>
      <c r="G168" s="71">
        <v>480</v>
      </c>
      <c r="H168" s="68">
        <f t="shared" si="4"/>
        <v>0</v>
      </c>
      <c r="I168" s="81" t="s">
        <v>154</v>
      </c>
      <c r="J168" s="17">
        <v>400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</row>
    <row r="169" ht="25" customHeight="1" spans="1:9">
      <c r="A169" s="36" t="s">
        <v>57</v>
      </c>
      <c r="B169" s="37"/>
      <c r="C169" s="38"/>
      <c r="D169" s="38"/>
      <c r="E169" s="37"/>
      <c r="F169" s="37"/>
      <c r="G169" s="37"/>
      <c r="H169" s="73">
        <f>SUM(H135:H168)</f>
        <v>3148</v>
      </c>
      <c r="I169" s="87"/>
    </row>
    <row r="170" s="8" customFormat="1" ht="25" customHeight="1" spans="1:249">
      <c r="A170" s="100"/>
      <c r="B170" s="101"/>
      <c r="C170" s="16" t="s">
        <v>168</v>
      </c>
      <c r="D170" s="102"/>
      <c r="E170" s="102"/>
      <c r="F170" s="102"/>
      <c r="G170" s="102"/>
      <c r="H170" s="102"/>
      <c r="I170" s="117"/>
      <c r="J170" s="80"/>
      <c r="K170" s="118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/>
      <c r="GF170" s="11"/>
      <c r="GG170" s="11"/>
      <c r="GH170" s="11"/>
      <c r="GI170" s="11"/>
      <c r="GJ170" s="11"/>
      <c r="GK170" s="11"/>
      <c r="GL170" s="11"/>
      <c r="GM170" s="11"/>
      <c r="GN170" s="11"/>
      <c r="GO170" s="11"/>
      <c r="GP170" s="11"/>
      <c r="GQ170" s="11"/>
      <c r="GR170" s="11"/>
      <c r="GS170" s="11"/>
      <c r="GT170" s="11"/>
      <c r="GU170" s="11"/>
      <c r="GV170" s="11"/>
      <c r="GW170" s="11"/>
      <c r="GX170" s="11"/>
      <c r="GY170" s="11"/>
      <c r="GZ170" s="11"/>
      <c r="HA170" s="11"/>
      <c r="HB170" s="11"/>
      <c r="HC170" s="11"/>
      <c r="HD170" s="11"/>
      <c r="HE170" s="11"/>
      <c r="HF170" s="11"/>
      <c r="HG170" s="11"/>
      <c r="HH170" s="11"/>
      <c r="HI170" s="11"/>
      <c r="HJ170" s="11"/>
      <c r="HK170" s="11"/>
      <c r="HL170" s="11"/>
      <c r="HM170" s="11"/>
      <c r="HN170" s="11"/>
      <c r="HO170" s="11"/>
      <c r="HP170" s="11"/>
      <c r="HQ170" s="11"/>
      <c r="HR170" s="11"/>
      <c r="HS170" s="11"/>
      <c r="HT170" s="11"/>
      <c r="HU170" s="11"/>
      <c r="HV170" s="11"/>
      <c r="HW170" s="11"/>
      <c r="HX170" s="11"/>
      <c r="HY170" s="11"/>
      <c r="HZ170" s="11"/>
      <c r="IA170" s="11"/>
      <c r="IB170" s="11"/>
      <c r="IC170" s="11"/>
      <c r="ID170" s="11"/>
      <c r="IE170" s="11"/>
      <c r="IF170" s="11"/>
      <c r="IG170" s="11"/>
      <c r="IH170" s="11"/>
      <c r="II170" s="11"/>
      <c r="IJ170" s="11"/>
      <c r="IK170" s="11"/>
      <c r="IL170" s="11"/>
      <c r="IM170" s="11"/>
      <c r="IN170" s="11"/>
      <c r="IO170" s="11"/>
    </row>
    <row r="171" s="3" customFormat="1" ht="25" customHeight="1" spans="1:249">
      <c r="A171" s="39" t="s">
        <v>169</v>
      </c>
      <c r="B171" s="40"/>
      <c r="C171" s="40"/>
      <c r="D171" s="41"/>
      <c r="E171" s="41"/>
      <c r="F171" s="41"/>
      <c r="G171" s="41"/>
      <c r="H171" s="41"/>
      <c r="I171" s="88"/>
      <c r="J171" s="80"/>
      <c r="K171" s="118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1"/>
      <c r="FW171" s="11"/>
      <c r="FX171" s="11"/>
      <c r="FY171" s="11"/>
      <c r="FZ171" s="11"/>
      <c r="GA171" s="11"/>
      <c r="GB171" s="11"/>
      <c r="GC171" s="11"/>
      <c r="GD171" s="11"/>
      <c r="GE171" s="11"/>
      <c r="GF171" s="11"/>
      <c r="GG171" s="11"/>
      <c r="GH171" s="11"/>
      <c r="GI171" s="11"/>
      <c r="GJ171" s="11"/>
      <c r="GK171" s="11"/>
      <c r="GL171" s="11"/>
      <c r="GM171" s="11"/>
      <c r="GN171" s="11"/>
      <c r="GO171" s="11"/>
      <c r="GP171" s="11"/>
      <c r="GQ171" s="11"/>
      <c r="GR171" s="11"/>
      <c r="GS171" s="11"/>
      <c r="GT171" s="11"/>
      <c r="GU171" s="11"/>
      <c r="GV171" s="11"/>
      <c r="GW171" s="11"/>
      <c r="GX171" s="11"/>
      <c r="GY171" s="11"/>
      <c r="GZ171" s="11"/>
      <c r="HA171" s="11"/>
      <c r="HB171" s="11"/>
      <c r="HC171" s="11"/>
      <c r="HD171" s="11"/>
      <c r="HE171" s="11"/>
      <c r="HF171" s="11"/>
      <c r="HG171" s="11"/>
      <c r="HH171" s="11"/>
      <c r="HI171" s="11"/>
      <c r="HJ171" s="11"/>
      <c r="HK171" s="11"/>
      <c r="HL171" s="11"/>
      <c r="HM171" s="11"/>
      <c r="HN171" s="11"/>
      <c r="HO171" s="11"/>
      <c r="HP171" s="11"/>
      <c r="HQ171" s="11"/>
      <c r="HR171" s="11"/>
      <c r="HS171" s="11"/>
      <c r="HT171" s="11"/>
      <c r="HU171" s="11"/>
      <c r="HV171" s="11"/>
      <c r="HW171" s="11"/>
      <c r="HX171" s="11"/>
      <c r="HY171" s="11"/>
      <c r="HZ171" s="11"/>
      <c r="IA171" s="11"/>
      <c r="IB171" s="11"/>
      <c r="IC171" s="11"/>
      <c r="ID171" s="11"/>
      <c r="IE171" s="11"/>
      <c r="IF171" s="11"/>
      <c r="IG171" s="11"/>
      <c r="IH171" s="11"/>
      <c r="II171" s="11"/>
      <c r="IJ171" s="11"/>
      <c r="IK171" s="11"/>
      <c r="IL171" s="11"/>
      <c r="IM171" s="11"/>
      <c r="IN171" s="11"/>
      <c r="IO171" s="11"/>
    </row>
    <row r="172" s="9" customFormat="1" ht="25" customHeight="1" spans="1:10">
      <c r="A172" s="103">
        <v>1</v>
      </c>
      <c r="B172" s="104"/>
      <c r="C172" s="105" t="s">
        <v>170</v>
      </c>
      <c r="D172" s="105"/>
      <c r="E172" s="67" t="s">
        <v>18</v>
      </c>
      <c r="F172" s="68">
        <f>G2</f>
        <v>130</v>
      </c>
      <c r="G172" s="109">
        <v>12</v>
      </c>
      <c r="H172" s="109">
        <f>SUM(F172*G172)</f>
        <v>1560</v>
      </c>
      <c r="I172" s="119" t="s">
        <v>171</v>
      </c>
      <c r="J172" s="120">
        <v>12</v>
      </c>
    </row>
    <row r="173" s="4" customFormat="1" ht="31" spans="1:249">
      <c r="A173" s="103">
        <v>2</v>
      </c>
      <c r="B173" s="104"/>
      <c r="C173" s="106" t="s">
        <v>172</v>
      </c>
      <c r="D173" s="107"/>
      <c r="E173" s="67" t="s">
        <v>18</v>
      </c>
      <c r="F173" s="71">
        <f>G2</f>
        <v>130</v>
      </c>
      <c r="G173" s="71">
        <v>8</v>
      </c>
      <c r="H173" s="71">
        <f t="shared" ref="H173:H182" si="5">F173*G173</f>
        <v>1040</v>
      </c>
      <c r="I173" s="121" t="s">
        <v>173</v>
      </c>
      <c r="J173" s="17">
        <v>4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</row>
    <row r="174" s="4" customFormat="1" ht="31" spans="1:249">
      <c r="A174" s="103">
        <v>3</v>
      </c>
      <c r="B174" s="104"/>
      <c r="C174" s="108" t="s">
        <v>174</v>
      </c>
      <c r="D174" s="33"/>
      <c r="E174" s="67" t="s">
        <v>18</v>
      </c>
      <c r="F174" s="71">
        <f>SUM(G2)</f>
        <v>130</v>
      </c>
      <c r="G174" s="71">
        <v>5</v>
      </c>
      <c r="H174" s="71">
        <f t="shared" si="5"/>
        <v>650</v>
      </c>
      <c r="I174" s="121" t="s">
        <v>175</v>
      </c>
      <c r="J174" s="17">
        <v>2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</row>
    <row r="175" ht="25" customHeight="1" spans="1:9">
      <c r="A175" s="36" t="s">
        <v>57</v>
      </c>
      <c r="B175" s="37"/>
      <c r="C175" s="38"/>
      <c r="D175" s="38"/>
      <c r="E175" s="37"/>
      <c r="F175" s="37"/>
      <c r="G175" s="37"/>
      <c r="H175" s="73">
        <f>SUM(H172:H174)</f>
        <v>3250</v>
      </c>
      <c r="I175" s="87"/>
    </row>
    <row r="176" s="3" customFormat="1" ht="25" customHeight="1" spans="1:249">
      <c r="A176" s="39" t="s">
        <v>176</v>
      </c>
      <c r="B176" s="40"/>
      <c r="C176" s="40"/>
      <c r="D176" s="41"/>
      <c r="E176" s="41"/>
      <c r="F176" s="41"/>
      <c r="G176" s="41"/>
      <c r="H176" s="41"/>
      <c r="I176" s="88"/>
      <c r="J176" s="80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11"/>
      <c r="FR176" s="11"/>
      <c r="FS176" s="11"/>
      <c r="FT176" s="11"/>
      <c r="FU176" s="11"/>
      <c r="FV176" s="11"/>
      <c r="FW176" s="11"/>
      <c r="FX176" s="11"/>
      <c r="FY176" s="11"/>
      <c r="FZ176" s="11"/>
      <c r="GA176" s="11"/>
      <c r="GB176" s="11"/>
      <c r="GC176" s="11"/>
      <c r="GD176" s="11"/>
      <c r="GE176" s="11"/>
      <c r="GF176" s="11"/>
      <c r="GG176" s="11"/>
      <c r="GH176" s="11"/>
      <c r="GI176" s="11"/>
      <c r="GJ176" s="11"/>
      <c r="GK176" s="11"/>
      <c r="GL176" s="11"/>
      <c r="GM176" s="11"/>
      <c r="GN176" s="11"/>
      <c r="GO176" s="11"/>
      <c r="GP176" s="11"/>
      <c r="GQ176" s="11"/>
      <c r="GR176" s="11"/>
      <c r="GS176" s="11"/>
      <c r="GT176" s="11"/>
      <c r="GU176" s="11"/>
      <c r="GV176" s="11"/>
      <c r="GW176" s="11"/>
      <c r="GX176" s="11"/>
      <c r="GY176" s="11"/>
      <c r="GZ176" s="11"/>
      <c r="HA176" s="11"/>
      <c r="HB176" s="11"/>
      <c r="HC176" s="11"/>
      <c r="HD176" s="11"/>
      <c r="HE176" s="11"/>
      <c r="HF176" s="11"/>
      <c r="HG176" s="11"/>
      <c r="HH176" s="11"/>
      <c r="HI176" s="11"/>
      <c r="HJ176" s="11"/>
      <c r="HK176" s="11"/>
      <c r="HL176" s="11"/>
      <c r="HM176" s="11"/>
      <c r="HN176" s="11"/>
      <c r="HO176" s="11"/>
      <c r="HP176" s="11"/>
      <c r="HQ176" s="11"/>
      <c r="HR176" s="11"/>
      <c r="HS176" s="11"/>
      <c r="HT176" s="11"/>
      <c r="HU176" s="11"/>
      <c r="HV176" s="11"/>
      <c r="HW176" s="11"/>
      <c r="HX176" s="11"/>
      <c r="HY176" s="11"/>
      <c r="HZ176" s="11"/>
      <c r="IA176" s="11"/>
      <c r="IB176" s="11"/>
      <c r="IC176" s="11"/>
      <c r="ID176" s="11"/>
      <c r="IE176" s="11"/>
      <c r="IF176" s="11"/>
      <c r="IG176" s="11"/>
      <c r="IH176" s="11"/>
      <c r="II176" s="11"/>
      <c r="IJ176" s="11"/>
      <c r="IK176" s="11"/>
      <c r="IL176" s="11"/>
      <c r="IM176" s="11"/>
      <c r="IN176" s="11"/>
      <c r="IO176" s="11"/>
    </row>
    <row r="177" s="9" customFormat="1" ht="36" customHeight="1" spans="1:10">
      <c r="A177" s="103">
        <v>1</v>
      </c>
      <c r="B177" s="104"/>
      <c r="C177" s="105" t="s">
        <v>177</v>
      </c>
      <c r="D177" s="105"/>
      <c r="E177" s="67" t="s">
        <v>18</v>
      </c>
      <c r="F177" s="68">
        <f>SUM(G2)</f>
        <v>130</v>
      </c>
      <c r="G177" s="68">
        <v>15.5</v>
      </c>
      <c r="H177" s="68">
        <f t="shared" si="5"/>
        <v>2015</v>
      </c>
      <c r="I177" s="121" t="s">
        <v>178</v>
      </c>
      <c r="J177" s="120">
        <v>10</v>
      </c>
    </row>
    <row r="178" s="9" customFormat="1" ht="36" customHeight="1" spans="1:10">
      <c r="A178" s="103">
        <v>2</v>
      </c>
      <c r="B178" s="104"/>
      <c r="C178" s="105" t="s">
        <v>179</v>
      </c>
      <c r="D178" s="105"/>
      <c r="E178" s="67" t="s">
        <v>18</v>
      </c>
      <c r="F178" s="68">
        <f>SUM(G2)</f>
        <v>130</v>
      </c>
      <c r="G178" s="68">
        <v>15.5</v>
      </c>
      <c r="H178" s="68">
        <f t="shared" si="5"/>
        <v>2015</v>
      </c>
      <c r="I178" s="121" t="s">
        <v>180</v>
      </c>
      <c r="J178" s="120">
        <v>10</v>
      </c>
    </row>
    <row r="179" s="9" customFormat="1" ht="46" spans="1:10">
      <c r="A179" s="103">
        <v>3</v>
      </c>
      <c r="B179" s="104"/>
      <c r="C179" s="105" t="s">
        <v>181</v>
      </c>
      <c r="D179" s="105"/>
      <c r="E179" s="67" t="s">
        <v>18</v>
      </c>
      <c r="F179" s="68">
        <f>G2</f>
        <v>130</v>
      </c>
      <c r="G179" s="68">
        <v>70</v>
      </c>
      <c r="H179" s="68">
        <f t="shared" si="5"/>
        <v>9100</v>
      </c>
      <c r="I179" s="122" t="s">
        <v>182</v>
      </c>
      <c r="J179" s="120">
        <v>45</v>
      </c>
    </row>
    <row r="180" s="9" customFormat="1" ht="21.95" customHeight="1" spans="1:10">
      <c r="A180" s="103">
        <v>4</v>
      </c>
      <c r="B180" s="104"/>
      <c r="C180" s="105" t="s">
        <v>183</v>
      </c>
      <c r="D180" s="105"/>
      <c r="E180" s="67" t="s">
        <v>18</v>
      </c>
      <c r="F180" s="68">
        <f>G2</f>
        <v>130</v>
      </c>
      <c r="G180" s="68">
        <v>33.5</v>
      </c>
      <c r="H180" s="68">
        <f t="shared" si="5"/>
        <v>4355</v>
      </c>
      <c r="I180" s="122" t="s">
        <v>184</v>
      </c>
      <c r="J180" s="120">
        <v>20</v>
      </c>
    </row>
    <row r="181" s="9" customFormat="1" ht="26" customHeight="1" spans="1:10">
      <c r="A181" s="103">
        <v>5</v>
      </c>
      <c r="B181" s="104"/>
      <c r="C181" s="105" t="s">
        <v>185</v>
      </c>
      <c r="D181" s="105"/>
      <c r="E181" s="67" t="s">
        <v>18</v>
      </c>
      <c r="F181" s="68">
        <f>G2</f>
        <v>130</v>
      </c>
      <c r="G181" s="68">
        <v>84.8</v>
      </c>
      <c r="H181" s="68">
        <f t="shared" si="5"/>
        <v>11024</v>
      </c>
      <c r="I181" s="122" t="s">
        <v>186</v>
      </c>
      <c r="J181" s="120">
        <v>70</v>
      </c>
    </row>
    <row r="182" s="9" customFormat="1" ht="26" customHeight="1" spans="1:10">
      <c r="A182" s="103">
        <v>6</v>
      </c>
      <c r="B182" s="104"/>
      <c r="C182" s="105" t="s">
        <v>187</v>
      </c>
      <c r="D182" s="105"/>
      <c r="E182" s="67" t="s">
        <v>18</v>
      </c>
      <c r="F182" s="68">
        <f>G2</f>
        <v>130</v>
      </c>
      <c r="G182" s="68">
        <v>10.7</v>
      </c>
      <c r="H182" s="68">
        <f t="shared" si="5"/>
        <v>1391</v>
      </c>
      <c r="I182" s="122" t="s">
        <v>188</v>
      </c>
      <c r="J182" s="120">
        <v>5</v>
      </c>
    </row>
    <row r="183" s="9" customFormat="1" ht="31" spans="1:10">
      <c r="A183" s="103">
        <v>7</v>
      </c>
      <c r="B183" s="104"/>
      <c r="C183" s="105" t="s">
        <v>189</v>
      </c>
      <c r="D183" s="105"/>
      <c r="E183" s="110" t="s">
        <v>26</v>
      </c>
      <c r="F183" s="68">
        <v>1</v>
      </c>
      <c r="G183" s="109">
        <v>480</v>
      </c>
      <c r="H183" s="109">
        <f t="shared" ref="H183:H188" si="6">SUM(F183*G183)</f>
        <v>480</v>
      </c>
      <c r="I183" s="123" t="s">
        <v>190</v>
      </c>
      <c r="J183" s="120">
        <v>300</v>
      </c>
    </row>
    <row r="184" s="9" customFormat="1" ht="27" customHeight="1" spans="1:10">
      <c r="A184" s="103">
        <v>8</v>
      </c>
      <c r="B184" s="104"/>
      <c r="C184" s="105" t="s">
        <v>191</v>
      </c>
      <c r="D184" s="105"/>
      <c r="E184" s="67" t="s">
        <v>18</v>
      </c>
      <c r="F184" s="68">
        <v>0</v>
      </c>
      <c r="G184" s="68">
        <v>10</v>
      </c>
      <c r="H184" s="68">
        <f>F184*G184</f>
        <v>0</v>
      </c>
      <c r="I184" s="122"/>
      <c r="J184" s="120">
        <v>5</v>
      </c>
    </row>
    <row r="185" s="9" customFormat="1" ht="20" customHeight="1" spans="1:10">
      <c r="A185" s="103">
        <v>9</v>
      </c>
      <c r="B185" s="104"/>
      <c r="C185" s="105" t="s">
        <v>192</v>
      </c>
      <c r="D185" s="105"/>
      <c r="E185" s="67" t="s">
        <v>18</v>
      </c>
      <c r="F185" s="68">
        <f>G2</f>
        <v>130</v>
      </c>
      <c r="G185" s="68">
        <v>8</v>
      </c>
      <c r="H185" s="68">
        <f t="shared" si="6"/>
        <v>1040</v>
      </c>
      <c r="I185" s="121" t="s">
        <v>193</v>
      </c>
      <c r="J185" s="120">
        <v>5</v>
      </c>
    </row>
    <row r="186" s="9" customFormat="1" ht="16" spans="1:10">
      <c r="A186" s="103">
        <v>10</v>
      </c>
      <c r="B186" s="104"/>
      <c r="C186" s="105" t="s">
        <v>194</v>
      </c>
      <c r="D186" s="105"/>
      <c r="E186" s="67" t="s">
        <v>18</v>
      </c>
      <c r="F186" s="68">
        <v>0</v>
      </c>
      <c r="G186" s="68">
        <v>22</v>
      </c>
      <c r="H186" s="68"/>
      <c r="I186" s="121" t="s">
        <v>195</v>
      </c>
      <c r="J186" s="120">
        <v>15</v>
      </c>
    </row>
    <row r="187" s="9" customFormat="1" ht="21.95" customHeight="1" spans="1:10">
      <c r="A187" s="103">
        <v>11</v>
      </c>
      <c r="B187" s="104"/>
      <c r="C187" s="105" t="s">
        <v>196</v>
      </c>
      <c r="D187" s="105"/>
      <c r="E187" s="67" t="s">
        <v>18</v>
      </c>
      <c r="F187" s="68">
        <v>0</v>
      </c>
      <c r="G187" s="109">
        <v>25</v>
      </c>
      <c r="H187" s="109">
        <f t="shared" si="6"/>
        <v>0</v>
      </c>
      <c r="I187" s="124" t="s">
        <v>197</v>
      </c>
      <c r="J187" s="120">
        <v>15</v>
      </c>
    </row>
    <row r="188" s="9" customFormat="1" ht="21.95" customHeight="1" spans="1:10">
      <c r="A188" s="103">
        <v>12</v>
      </c>
      <c r="B188" s="104"/>
      <c r="C188" s="105" t="s">
        <v>198</v>
      </c>
      <c r="D188" s="105"/>
      <c r="E188" s="67" t="s">
        <v>18</v>
      </c>
      <c r="F188" s="68">
        <v>0</v>
      </c>
      <c r="G188" s="109">
        <v>35</v>
      </c>
      <c r="H188" s="109">
        <f t="shared" si="6"/>
        <v>0</v>
      </c>
      <c r="I188" s="124" t="s">
        <v>197</v>
      </c>
      <c r="J188" s="120">
        <v>20</v>
      </c>
    </row>
    <row r="189" s="9" customFormat="1" ht="21.95" customHeight="1" spans="1:10">
      <c r="A189" s="103">
        <v>13</v>
      </c>
      <c r="B189" s="104"/>
      <c r="C189" s="105" t="s">
        <v>199</v>
      </c>
      <c r="D189" s="105"/>
      <c r="E189" s="110" t="s">
        <v>200</v>
      </c>
      <c r="F189" s="68">
        <v>1</v>
      </c>
      <c r="G189" s="68">
        <v>785</v>
      </c>
      <c r="H189" s="109">
        <f>F189*G189</f>
        <v>785</v>
      </c>
      <c r="I189" s="119" t="s">
        <v>201</v>
      </c>
      <c r="J189" s="120">
        <v>300</v>
      </c>
    </row>
    <row r="190" s="9" customFormat="1" ht="21.95" customHeight="1" spans="1:10">
      <c r="A190" s="103">
        <v>14</v>
      </c>
      <c r="B190" s="104"/>
      <c r="C190" s="105" t="s">
        <v>202</v>
      </c>
      <c r="D190" s="105"/>
      <c r="E190" s="110" t="s">
        <v>200</v>
      </c>
      <c r="F190" s="68">
        <v>0</v>
      </c>
      <c r="G190" s="68">
        <v>585</v>
      </c>
      <c r="H190" s="109">
        <f>F190*G190</f>
        <v>0</v>
      </c>
      <c r="I190" s="119" t="s">
        <v>201</v>
      </c>
      <c r="J190" s="120">
        <v>300</v>
      </c>
    </row>
    <row r="191" s="9" customFormat="1" ht="25" customHeight="1" spans="1:10">
      <c r="A191" s="103">
        <v>15</v>
      </c>
      <c r="B191" s="104"/>
      <c r="C191" s="105" t="s">
        <v>203</v>
      </c>
      <c r="D191" s="105"/>
      <c r="E191" s="110" t="s">
        <v>204</v>
      </c>
      <c r="F191" s="68">
        <v>0</v>
      </c>
      <c r="G191" s="109">
        <v>300</v>
      </c>
      <c r="H191" s="109">
        <f t="shared" ref="H191:H193" si="7">SUM(F191*G191)</f>
        <v>0</v>
      </c>
      <c r="I191" s="125" t="s">
        <v>205</v>
      </c>
      <c r="J191" s="120">
        <v>200</v>
      </c>
    </row>
    <row r="192" s="9" customFormat="1" ht="25" customHeight="1" spans="1:10">
      <c r="A192" s="103">
        <v>16</v>
      </c>
      <c r="B192" s="104"/>
      <c r="C192" s="105" t="s">
        <v>206</v>
      </c>
      <c r="D192" s="105"/>
      <c r="E192" s="110" t="s">
        <v>204</v>
      </c>
      <c r="F192" s="68">
        <v>0</v>
      </c>
      <c r="G192" s="109">
        <v>300</v>
      </c>
      <c r="H192" s="109">
        <f t="shared" si="7"/>
        <v>0</v>
      </c>
      <c r="I192" s="125" t="s">
        <v>205</v>
      </c>
      <c r="J192" s="120">
        <v>200</v>
      </c>
    </row>
    <row r="193" s="9" customFormat="1" ht="21.95" customHeight="1" spans="1:10">
      <c r="A193" s="103">
        <v>17</v>
      </c>
      <c r="B193" s="104"/>
      <c r="C193" s="105" t="s">
        <v>207</v>
      </c>
      <c r="D193" s="105"/>
      <c r="E193" s="134" t="s">
        <v>166</v>
      </c>
      <c r="F193" s="68">
        <v>4</v>
      </c>
      <c r="G193" s="109">
        <v>220</v>
      </c>
      <c r="H193" s="109">
        <f t="shared" si="7"/>
        <v>880</v>
      </c>
      <c r="I193" s="121" t="s">
        <v>208</v>
      </c>
      <c r="J193" s="120">
        <v>150</v>
      </c>
    </row>
    <row r="194" s="9" customFormat="1" ht="25" customHeight="1" spans="1:10">
      <c r="A194" s="103">
        <v>18</v>
      </c>
      <c r="B194" s="104"/>
      <c r="C194" s="105" t="inlineStr">
        <is>
          <t>半包水电工程项点位费</t>
        </is>
      </c>
      <c r="D194" s="105"/>
      <c r="E194" s="134" t="inlineStr">
        <is>
          <t>个</t>
        </is>
      </c>
      <c r="F194" s="68"/>
      <c r="G194" s="109">
        <v>300</v>
      </c>
      <c r="H194" s="109">
        <f>F194*G194</f>
        <v>0</v>
      </c>
      <c r="I194" s="121"/>
      <c r="J194" s="120">
        <v>150</v>
      </c>
    </row>
    <row r="195" ht="25" customHeight="1" spans="1:9">
      <c r="A195" s="36" t="s">
        <v>57</v>
      </c>
      <c r="B195" s="37"/>
      <c r="C195" s="38"/>
      <c r="D195" s="38"/>
      <c r="E195" s="37"/>
      <c r="F195" s="37"/>
      <c r="G195" s="37"/>
      <c r="H195" s="73">
        <f>SUM(H177:H194)</f>
        <v>33085</v>
      </c>
      <c r="I195" s="87"/>
    </row>
    <row r="196" s="3" customFormat="1" ht="25" customHeight="1" spans="1:249">
      <c r="A196" s="39" t="s">
        <v>209</v>
      </c>
      <c r="B196" s="40"/>
      <c r="C196" s="40"/>
      <c r="D196" s="41"/>
      <c r="E196" s="41"/>
      <c r="F196" s="41"/>
      <c r="G196" s="41"/>
      <c r="H196" s="41"/>
      <c r="I196" s="88"/>
      <c r="J196" s="80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  <c r="FW196" s="11"/>
      <c r="FX196" s="11"/>
      <c r="FY196" s="11"/>
      <c r="FZ196" s="11"/>
      <c r="GA196" s="11"/>
      <c r="GB196" s="11"/>
      <c r="GC196" s="11"/>
      <c r="GD196" s="11"/>
      <c r="GE196" s="11"/>
      <c r="GF196" s="11"/>
      <c r="GG196" s="11"/>
      <c r="GH196" s="11"/>
      <c r="GI196" s="11"/>
      <c r="GJ196" s="11"/>
      <c r="GK196" s="11"/>
      <c r="GL196" s="11"/>
      <c r="GM196" s="11"/>
      <c r="GN196" s="11"/>
      <c r="GO196" s="11"/>
      <c r="GP196" s="11"/>
      <c r="GQ196" s="11"/>
      <c r="GR196" s="11"/>
      <c r="GS196" s="11"/>
      <c r="GT196" s="11"/>
      <c r="GU196" s="11"/>
      <c r="GV196" s="11"/>
      <c r="GW196" s="11"/>
      <c r="GX196" s="11"/>
      <c r="GY196" s="11"/>
      <c r="GZ196" s="11"/>
      <c r="HA196" s="11"/>
      <c r="HB196" s="11"/>
      <c r="HC196" s="11"/>
      <c r="HD196" s="11"/>
      <c r="HE196" s="11"/>
      <c r="HF196" s="11"/>
      <c r="HG196" s="11"/>
      <c r="HH196" s="11"/>
      <c r="HI196" s="11"/>
      <c r="HJ196" s="11"/>
      <c r="HK196" s="11"/>
      <c r="HL196" s="11"/>
      <c r="HM196" s="11"/>
      <c r="HN196" s="11"/>
      <c r="HO196" s="11"/>
      <c r="HP196" s="11"/>
      <c r="HQ196" s="11"/>
      <c r="HR196" s="11"/>
      <c r="HS196" s="11"/>
      <c r="HT196" s="11"/>
      <c r="HU196" s="11"/>
      <c r="HV196" s="11"/>
      <c r="HW196" s="11"/>
      <c r="HX196" s="11"/>
      <c r="HY196" s="11"/>
      <c r="HZ196" s="11"/>
      <c r="IA196" s="11"/>
      <c r="IB196" s="11"/>
      <c r="IC196" s="11"/>
      <c r="ID196" s="11"/>
      <c r="IE196" s="11"/>
      <c r="IF196" s="11"/>
      <c r="IG196" s="11"/>
      <c r="IH196" s="11"/>
      <c r="II196" s="11"/>
      <c r="IJ196" s="11"/>
      <c r="IK196" s="11"/>
      <c r="IL196" s="11"/>
      <c r="IM196" s="11"/>
      <c r="IN196" s="11"/>
      <c r="IO196" s="11"/>
    </row>
    <row r="197" s="4" customFormat="1" ht="25" customHeight="1" spans="1:249">
      <c r="A197" s="32">
        <v>1</v>
      </c>
      <c r="B197" s="33"/>
      <c r="C197" s="34" t="s">
        <v>210</v>
      </c>
      <c r="D197" s="35"/>
      <c r="E197" s="72" t="s">
        <v>211</v>
      </c>
      <c r="F197" s="68">
        <v>0</v>
      </c>
      <c r="G197" s="69">
        <v>500</v>
      </c>
      <c r="H197" s="68">
        <f t="shared" ref="H197" si="8">F197*G197</f>
        <v>0</v>
      </c>
      <c r="I197" s="81" t="s">
        <v>212</v>
      </c>
      <c r="J197" s="17">
        <v>400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</row>
    <row r="198" s="4" customFormat="1" ht="25" customHeight="1" spans="1:249">
      <c r="A198" s="32">
        <v>2</v>
      </c>
      <c r="B198" s="33"/>
      <c r="C198" s="34" t="s">
        <v>213</v>
      </c>
      <c r="D198" s="35"/>
      <c r="E198" s="67" t="s">
        <v>18</v>
      </c>
      <c r="F198" s="71">
        <f>G2</f>
        <v>130</v>
      </c>
      <c r="G198" s="71">
        <v>15</v>
      </c>
      <c r="H198" s="71">
        <f t="shared" si="8">F198*G198</f>
        <v>1950</v>
      </c>
      <c r="I198" s="121" t="s">
        <v>214</v>
      </c>
      <c r="J198" s="17">
        <v>10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</row>
    <row r="199" s="4" customFormat="1" ht="25" customHeight="1" spans="1:249">
      <c r="A199" s="32">
        <v>3</v>
      </c>
      <c r="B199" s="33"/>
      <c r="C199" s="34" t="s">
        <v>215</v>
      </c>
      <c r="D199" s="35"/>
      <c r="E199" s="67" t="s">
        <v>18</v>
      </c>
      <c r="F199" s="71">
        <f>G2</f>
        <v>130</v>
      </c>
      <c r="G199" s="71">
        <v>15</v>
      </c>
      <c r="H199" s="71">
        <f t="shared" si="8">F199*G199</f>
        <v>1950</v>
      </c>
      <c r="I199" s="81" t="s">
        <v>216</v>
      </c>
      <c r="J199" s="17">
        <v>8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</row>
    <row r="200" ht="25" customHeight="1" spans="1:9">
      <c r="A200" s="36" t="s">
        <v>57</v>
      </c>
      <c r="B200" s="37"/>
      <c r="C200" s="38"/>
      <c r="D200" s="38"/>
      <c r="E200" s="37"/>
      <c r="F200" s="37"/>
      <c r="G200" s="37"/>
      <c r="H200" s="73">
        <f>SUM(H197:H199)</f>
        <v>3900</v>
      </c>
      <c r="I200" s="87"/>
    </row>
    <row r="201" s="3" customFormat="1" ht="25" customHeight="1" spans="1:249">
      <c r="A201" s="39" t="s">
        <v>217</v>
      </c>
      <c r="B201" s="40"/>
      <c r="C201" s="40"/>
      <c r="D201" s="41"/>
      <c r="E201" s="41"/>
      <c r="F201" s="41"/>
      <c r="G201" s="41"/>
      <c r="H201" s="41"/>
      <c r="I201" s="88"/>
      <c r="J201" s="80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1"/>
      <c r="FW201" s="11"/>
      <c r="FX201" s="11"/>
      <c r="FY201" s="11"/>
      <c r="FZ201" s="11"/>
      <c r="GA201" s="11"/>
      <c r="GB201" s="11"/>
      <c r="GC201" s="11"/>
      <c r="GD201" s="11"/>
      <c r="GE201" s="11"/>
      <c r="GF201" s="11"/>
      <c r="GG201" s="11"/>
      <c r="GH201" s="11"/>
      <c r="GI201" s="11"/>
      <c r="GJ201" s="11"/>
      <c r="GK201" s="11"/>
      <c r="GL201" s="11"/>
      <c r="GM201" s="11"/>
      <c r="GN201" s="11"/>
      <c r="GO201" s="11"/>
      <c r="GP201" s="11"/>
      <c r="GQ201" s="11"/>
      <c r="GR201" s="11"/>
      <c r="GS201" s="11"/>
      <c r="GT201" s="11"/>
      <c r="GU201" s="11"/>
      <c r="GV201" s="11"/>
      <c r="GW201" s="11"/>
      <c r="GX201" s="11"/>
      <c r="GY201" s="11"/>
      <c r="GZ201" s="11"/>
      <c r="HA201" s="11"/>
      <c r="HB201" s="11"/>
      <c r="HC201" s="11"/>
      <c r="HD201" s="11"/>
      <c r="HE201" s="11"/>
      <c r="HF201" s="11"/>
      <c r="HG201" s="11"/>
      <c r="HH201" s="11"/>
      <c r="HI201" s="11"/>
      <c r="HJ201" s="11"/>
      <c r="HK201" s="11"/>
      <c r="HL201" s="11"/>
      <c r="HM201" s="11"/>
      <c r="HN201" s="11"/>
      <c r="HO201" s="11"/>
      <c r="HP201" s="11"/>
      <c r="HQ201" s="11"/>
      <c r="HR201" s="11"/>
      <c r="HS201" s="11"/>
      <c r="HT201" s="11"/>
      <c r="HU201" s="11"/>
      <c r="HV201" s="11"/>
      <c r="HW201" s="11"/>
      <c r="HX201" s="11"/>
      <c r="HY201" s="11"/>
      <c r="HZ201" s="11"/>
      <c r="IA201" s="11"/>
      <c r="IB201" s="11"/>
      <c r="IC201" s="11"/>
      <c r="ID201" s="11"/>
      <c r="IE201" s="11"/>
      <c r="IF201" s="11"/>
      <c r="IG201" s="11"/>
      <c r="IH201" s="11"/>
      <c r="II201" s="11"/>
      <c r="IJ201" s="11"/>
      <c r="IK201" s="11"/>
      <c r="IL201" s="11"/>
      <c r="IM201" s="11"/>
      <c r="IN201" s="11"/>
      <c r="IO201" s="11"/>
    </row>
    <row r="202" ht="25" customHeight="1" spans="1:9">
      <c r="A202" s="126"/>
      <c r="B202" s="127" t="s">
        <v>218</v>
      </c>
      <c r="C202" s="128" t="s">
        <v>219</v>
      </c>
      <c r="D202" s="129"/>
      <c r="E202" s="135" t="s">
        <v>220</v>
      </c>
      <c r="F202" s="136"/>
      <c r="G202" s="137">
        <f>SUM(H200+H195+H175+H169+H133+H128+H79+H25)</f>
        <v>113124.766</v>
      </c>
      <c r="H202" s="137"/>
      <c r="I202" s="142"/>
    </row>
    <row r="203" ht="25" customHeight="1" spans="1:9">
      <c r="A203" s="126"/>
      <c r="B203" s="127" t="s">
        <v>221</v>
      </c>
      <c r="C203" s="128" t="s">
        <v>222</v>
      </c>
      <c r="D203" s="129"/>
      <c r="E203" s="135" t="s">
        <v>220</v>
      </c>
      <c r="F203" s="136"/>
      <c r="G203" s="137" cm="1">
        <f t="array" ref="G203">SUM(G202:G202*0.1)</f>
        <v>11312.4766</v>
      </c>
      <c r="H203" s="137"/>
      <c r="I203" s="143" t="s">
        <v>223</v>
      </c>
    </row>
    <row r="204" ht="25" customHeight="1" spans="1:9">
      <c r="A204" s="130"/>
      <c r="B204" s="131" t="s">
        <v>224</v>
      </c>
      <c r="C204" s="132" t="s">
        <v>225</v>
      </c>
      <c r="D204" s="133"/>
      <c r="E204" s="138" t="s">
        <v>220</v>
      </c>
      <c r="F204" s="139"/>
      <c r="G204" s="140">
        <f>SUM(G202+G203)</f>
        <v>124437.2426</v>
      </c>
      <c r="H204" s="140"/>
      <c r="I204" s="144"/>
    </row>
    <row r="208" customHeight="1" spans="5:5">
      <c r="E208" s="141"/>
    </row>
  </sheetData>
  <mergeCells count="277">
    <mergeCell ref="A1:I1"/>
    <mergeCell ref="A2:B2"/>
    <mergeCell ref="C2:D2"/>
    <mergeCell ref="E2:F2"/>
    <mergeCell ref="G3:H3"/>
    <mergeCell ref="A5:C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G25"/>
    <mergeCell ref="A26:C26"/>
    <mergeCell ref="A27:B27"/>
    <mergeCell ref="C27:D27"/>
    <mergeCell ref="A28:B28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A79:G79"/>
    <mergeCell ref="A80:C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A128:G128"/>
    <mergeCell ref="A129:C129"/>
    <mergeCell ref="A130:B130"/>
    <mergeCell ref="C130:D130"/>
    <mergeCell ref="A131:B131"/>
    <mergeCell ref="C131:D131"/>
    <mergeCell ref="A132:B132"/>
    <mergeCell ref="C132:D132"/>
    <mergeCell ref="A133:G133"/>
    <mergeCell ref="A134:C134"/>
    <mergeCell ref="A135:B135"/>
    <mergeCell ref="C135:D135"/>
    <mergeCell ref="A136:B136"/>
    <mergeCell ref="C136:D136"/>
    <mergeCell ref="A137:B137"/>
    <mergeCell ref="C137:D137"/>
    <mergeCell ref="A138:B138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A163:B163"/>
    <mergeCell ref="C163:D163"/>
    <mergeCell ref="A164:B164"/>
    <mergeCell ref="C164:D164"/>
    <mergeCell ref="A165:B165"/>
    <mergeCell ref="C165:D165"/>
    <mergeCell ref="A166:B166"/>
    <mergeCell ref="C166:D166"/>
    <mergeCell ref="A167:B167"/>
    <mergeCell ref="C167:D167"/>
    <mergeCell ref="A168:B168"/>
    <mergeCell ref="C168:D168"/>
    <mergeCell ref="A169:G169"/>
    <mergeCell ref="A171:C171"/>
    <mergeCell ref="A172:B172"/>
    <mergeCell ref="C172:D172"/>
    <mergeCell ref="A173:B173"/>
    <mergeCell ref="C173:D173"/>
    <mergeCell ref="A174:B174"/>
    <mergeCell ref="C174:D174"/>
    <mergeCell ref="A175:G175"/>
    <mergeCell ref="A176:C176"/>
    <mergeCell ref="A177:B177"/>
    <mergeCell ref="C177:D177"/>
    <mergeCell ref="A178:B178"/>
    <mergeCell ref="C178:D178"/>
    <mergeCell ref="A179:B179"/>
    <mergeCell ref="C179:D179"/>
    <mergeCell ref="A180:B180"/>
    <mergeCell ref="C180:D180"/>
    <mergeCell ref="A181:B181"/>
    <mergeCell ref="C181:D181"/>
    <mergeCell ref="A182:B182"/>
    <mergeCell ref="C182:D182"/>
    <mergeCell ref="A183:B183"/>
    <mergeCell ref="C183:D183"/>
    <mergeCell ref="A184:B184"/>
    <mergeCell ref="C184:D184"/>
    <mergeCell ref="A185:B185"/>
    <mergeCell ref="C185:D185"/>
    <mergeCell ref="A186:B186"/>
    <mergeCell ref="C186:D186"/>
    <mergeCell ref="A187:B187"/>
    <mergeCell ref="C187:D187"/>
    <mergeCell ref="A188:B188"/>
    <mergeCell ref="C188:D188"/>
    <mergeCell ref="A189:B189"/>
    <mergeCell ref="C189:D189"/>
    <mergeCell ref="A190:B190"/>
    <mergeCell ref="C190:D190"/>
    <mergeCell ref="A191:B191"/>
    <mergeCell ref="C191:D191"/>
    <mergeCell ref="A192:B192"/>
    <mergeCell ref="C192:D192"/>
    <mergeCell ref="A193:B193"/>
    <mergeCell ref="C193:D193"/>
    <mergeCell ref="A195:G195"/>
    <mergeCell ref="A196:C196"/>
    <mergeCell ref="A197:B197"/>
    <mergeCell ref="C197:D197"/>
    <mergeCell ref="A198:B198"/>
    <mergeCell ref="C198:D198"/>
    <mergeCell ref="A199:B199"/>
    <mergeCell ref="C199:D199"/>
    <mergeCell ref="A200:G200"/>
    <mergeCell ref="A201:C201"/>
    <mergeCell ref="E3:E4"/>
    <mergeCell ref="F3:F4"/>
    <mergeCell ref="I3:I4"/>
    <mergeCell ref="A3:B4"/>
    <mergeCell ref="C3:D4"/>
    <mergeCell ref="A30:B31"/>
    <mergeCell ref="A32:B48"/>
    <mergeCell ref="A49:B51"/>
    <mergeCell ref="A52:B71"/>
    <mergeCell ref="A72:B75"/>
    <mergeCell ref="A76:B78"/>
    <mergeCell ref="A84:B100"/>
    <mergeCell ref="A101:B103"/>
    <mergeCell ref="A104:B123"/>
    <mergeCell ref="A124:B127"/>
    <mergeCell ref="A139:B140"/>
    <mergeCell ref="A141:B143"/>
    <mergeCell ref="A144:B162"/>
    <mergeCell ref="A194:B194"/>
    <mergeCell ref="C194:D194"/>
  </mergeCells>
  <conditionalFormatting sqref="E3">
    <cfRule type="cellIs" dxfId="0" priority="513" stopIfTrue="1" operator="equal">
      <formula>0</formula>
    </cfRule>
  </conditionalFormatting>
  <conditionalFormatting sqref="J5:IR5">
    <cfRule type="cellIs" dxfId="0" priority="1147" stopIfTrue="1" operator="equal">
      <formula>0</formula>
    </cfRule>
  </conditionalFormatting>
  <conditionalFormatting sqref="J6:IR6">
    <cfRule type="cellIs" dxfId="0" priority="1109" stopIfTrue="1" operator="equal">
      <formula>0</formula>
    </cfRule>
  </conditionalFormatting>
  <conditionalFormatting sqref="E7">
    <cfRule type="cellIs" dxfId="0" priority="511" stopIfTrue="1" operator="equal">
      <formula>0</formula>
    </cfRule>
  </conditionalFormatting>
  <conditionalFormatting sqref="J7:IR7">
    <cfRule type="cellIs" dxfId="0" priority="1144" stopIfTrue="1" operator="equal">
      <formula>0</formula>
    </cfRule>
  </conditionalFormatting>
  <conditionalFormatting sqref="E8">
    <cfRule type="cellIs" dxfId="0" priority="480" stopIfTrue="1" operator="equal">
      <formula>0</formula>
    </cfRule>
  </conditionalFormatting>
  <conditionalFormatting sqref="J8:IR8">
    <cfRule type="cellIs" dxfId="0" priority="1112" stopIfTrue="1" operator="equal">
      <formula>0</formula>
    </cfRule>
  </conditionalFormatting>
  <conditionalFormatting sqref="E9">
    <cfRule type="cellIs" dxfId="0" priority="370" stopIfTrue="1" operator="equal">
      <formula>0</formula>
    </cfRule>
  </conditionalFormatting>
  <conditionalFormatting sqref="J9:IR9">
    <cfRule type="cellIs" dxfId="0" priority="976" stopIfTrue="1" operator="equal">
      <formula>0</formula>
    </cfRule>
  </conditionalFormatting>
  <conditionalFormatting sqref="E10">
    <cfRule type="cellIs" dxfId="0" priority="366" stopIfTrue="1" operator="equal">
      <formula>0</formula>
    </cfRule>
  </conditionalFormatting>
  <conditionalFormatting sqref="J10:IR10">
    <cfRule type="cellIs" dxfId="0" priority="970" stopIfTrue="1" operator="equal">
      <formula>0</formula>
    </cfRule>
  </conditionalFormatting>
  <conditionalFormatting sqref="A14">
    <cfRule type="cellIs" dxfId="0" priority="350" stopIfTrue="1" operator="equal">
      <formula>0</formula>
    </cfRule>
  </conditionalFormatting>
  <conditionalFormatting sqref="J15:IR15">
    <cfRule type="cellIs" dxfId="0" priority="1142" stopIfTrue="1" operator="equal">
      <formula>0</formula>
    </cfRule>
  </conditionalFormatting>
  <conditionalFormatting sqref="I16">
    <cfRule type="cellIs" dxfId="0" priority="357" stopIfTrue="1" operator="equal">
      <formula>0</formula>
    </cfRule>
  </conditionalFormatting>
  <conditionalFormatting sqref="A17">
    <cfRule type="cellIs" dxfId="0" priority="318" stopIfTrue="1" operator="equal">
      <formula>0</formula>
    </cfRule>
  </conditionalFormatting>
  <conditionalFormatting sqref="I17">
    <cfRule type="cellIs" dxfId="0" priority="316" stopIfTrue="1" operator="equal">
      <formula>0</formula>
    </cfRule>
  </conditionalFormatting>
  <conditionalFormatting sqref="A18">
    <cfRule type="cellIs" dxfId="0" priority="315" stopIfTrue="1" operator="equal">
      <formula>0</formula>
    </cfRule>
  </conditionalFormatting>
  <conditionalFormatting sqref="I18">
    <cfRule type="cellIs" dxfId="0" priority="313" stopIfTrue="1" operator="equal">
      <formula>0</formula>
    </cfRule>
  </conditionalFormatting>
  <conditionalFormatting sqref="J19:IR19">
    <cfRule type="cellIs" dxfId="0" priority="1110" stopIfTrue="1" operator="equal">
      <formula>0</formula>
    </cfRule>
  </conditionalFormatting>
  <conditionalFormatting sqref="F20">
    <cfRule type="cellIs" dxfId="0" priority="382" stopIfTrue="1" operator="equal">
      <formula>0</formula>
    </cfRule>
  </conditionalFormatting>
  <conditionalFormatting sqref="I20">
    <cfRule type="cellIs" dxfId="0" priority="312" stopIfTrue="1" operator="equal">
      <formula>0</formula>
    </cfRule>
  </conditionalFormatting>
  <conditionalFormatting sqref="J20:IR20">
    <cfRule type="cellIs" dxfId="0" priority="1140" stopIfTrue="1" operator="equal">
      <formula>0</formula>
    </cfRule>
  </conditionalFormatting>
  <conditionalFormatting sqref="F21">
    <cfRule type="cellIs" dxfId="0" priority="359" stopIfTrue="1" operator="equal">
      <formula>0</formula>
    </cfRule>
  </conditionalFormatting>
  <conditionalFormatting sqref="J21:IR21">
    <cfRule type="cellIs" dxfId="0" priority="960" stopIfTrue="1" operator="equal">
      <formula>0</formula>
    </cfRule>
  </conditionalFormatting>
  <conditionalFormatting sqref="J22:IR22">
    <cfRule type="cellIs" dxfId="0" priority="958" stopIfTrue="1" operator="equal">
      <formula>0</formula>
    </cfRule>
  </conditionalFormatting>
  <conditionalFormatting sqref="F23">
    <cfRule type="cellIs" dxfId="0" priority="327" stopIfTrue="1" operator="equal">
      <formula>0</formula>
    </cfRule>
  </conditionalFormatting>
  <conditionalFormatting sqref="J23:IR23">
    <cfRule type="cellIs" dxfId="0" priority="967" stopIfTrue="1" operator="equal">
      <formula>0</formula>
    </cfRule>
  </conditionalFormatting>
  <conditionalFormatting sqref="J24:IR24">
    <cfRule type="cellIs" dxfId="0" priority="1108" stopIfTrue="1" operator="equal">
      <formula>0</formula>
    </cfRule>
  </conditionalFormatting>
  <conditionalFormatting sqref="J26:IR26">
    <cfRule type="cellIs" dxfId="0" priority="1145" stopIfTrue="1" operator="equal">
      <formula>0</formula>
    </cfRule>
  </conditionalFormatting>
  <conditionalFormatting sqref="C27">
    <cfRule type="cellIs" dxfId="0" priority="506" stopIfTrue="1" operator="equal">
      <formula>0</formula>
    </cfRule>
  </conditionalFormatting>
  <conditionalFormatting sqref="C28">
    <cfRule type="cellIs" dxfId="0" priority="297" stopIfTrue="1" operator="equal">
      <formula>0</formula>
    </cfRule>
  </conditionalFormatting>
  <conditionalFormatting sqref="H28">
    <cfRule type="cellIs" dxfId="0" priority="296" stopIfTrue="1" operator="equal">
      <formula>0</formula>
    </cfRule>
  </conditionalFormatting>
  <conditionalFormatting sqref="C29">
    <cfRule type="cellIs" dxfId="0" priority="294" stopIfTrue="1" operator="equal">
      <formula>0</formula>
    </cfRule>
  </conditionalFormatting>
  <conditionalFormatting sqref="H29">
    <cfRule type="cellIs" dxfId="0" priority="293" stopIfTrue="1" operator="equal">
      <formula>0</formula>
    </cfRule>
  </conditionalFormatting>
  <conditionalFormatting sqref="J29">
    <cfRule type="cellIs" dxfId="0" priority="890" stopIfTrue="1" operator="equal">
      <formula>0</formula>
    </cfRule>
  </conditionalFormatting>
  <conditionalFormatting sqref="C30">
    <cfRule type="cellIs" dxfId="0" priority="504" stopIfTrue="1" operator="equal">
      <formula>0</formula>
    </cfRule>
  </conditionalFormatting>
  <conditionalFormatting sqref="J30:IR30">
    <cfRule type="cellIs" dxfId="0" priority="1137" stopIfTrue="1" operator="equal">
      <formula>0</formula>
    </cfRule>
  </conditionalFormatting>
  <conditionalFormatting sqref="C31">
    <cfRule type="cellIs" dxfId="0" priority="502" stopIfTrue="1" operator="equal">
      <formula>0</formula>
    </cfRule>
  </conditionalFormatting>
  <conditionalFormatting sqref="J31:IR31">
    <cfRule type="cellIs" dxfId="0" priority="1135" stopIfTrue="1" operator="equal">
      <formula>0</formula>
    </cfRule>
  </conditionalFormatting>
  <conditionalFormatting sqref="C32">
    <cfRule type="cellIs" dxfId="0" priority="379" stopIfTrue="1" operator="equal">
      <formula>0</formula>
    </cfRule>
  </conditionalFormatting>
  <conditionalFormatting sqref="I32">
    <cfRule type="cellIs" dxfId="0" priority="339" stopIfTrue="1" operator="equal">
      <formula>0</formula>
    </cfRule>
  </conditionalFormatting>
  <conditionalFormatting sqref="J32:IR32">
    <cfRule type="cellIs" dxfId="0" priority="988" stopIfTrue="1" operator="equal">
      <formula>0</formula>
    </cfRule>
  </conditionalFormatting>
  <conditionalFormatting sqref="C33">
    <cfRule type="cellIs" dxfId="0" priority="500" stopIfTrue="1" operator="equal">
      <formula>0</formula>
    </cfRule>
  </conditionalFormatting>
  <conditionalFormatting sqref="E33:G33">
    <cfRule type="cellIs" dxfId="0" priority="501" stopIfTrue="1" operator="equal">
      <formula>0</formula>
    </cfRule>
  </conditionalFormatting>
  <conditionalFormatting sqref="I33">
    <cfRule type="cellIs" dxfId="0" priority="340" stopIfTrue="1" operator="equal">
      <formula>0</formula>
    </cfRule>
  </conditionalFormatting>
  <conditionalFormatting sqref="J33:IR33">
    <cfRule type="cellIs" dxfId="0" priority="1133" stopIfTrue="1" operator="equal">
      <formula>0</formula>
    </cfRule>
  </conditionalFormatting>
  <conditionalFormatting sqref="C34">
    <cfRule type="cellIs" dxfId="0" priority="374" stopIfTrue="1" operator="equal">
      <formula>0</formula>
    </cfRule>
  </conditionalFormatting>
  <conditionalFormatting sqref="H34">
    <cfRule type="cellIs" dxfId="0" priority="373" stopIfTrue="1" operator="equal">
      <formula>0</formula>
    </cfRule>
  </conditionalFormatting>
  <conditionalFormatting sqref="I34">
    <cfRule type="cellIs" dxfId="0" priority="341" stopIfTrue="1" operator="equal">
      <formula>0</formula>
    </cfRule>
  </conditionalFormatting>
  <conditionalFormatting sqref="C35">
    <cfRule type="cellIs" dxfId="0" priority="344" stopIfTrue="1" operator="equal">
      <formula>0</formula>
    </cfRule>
  </conditionalFormatting>
  <conditionalFormatting sqref="H35">
    <cfRule type="cellIs" dxfId="0" priority="343" stopIfTrue="1" operator="equal">
      <formula>0</formula>
    </cfRule>
  </conditionalFormatting>
  <conditionalFormatting sqref="I35">
    <cfRule type="cellIs" dxfId="0" priority="342" stopIfTrue="1" operator="equal">
      <formula>0</formula>
    </cfRule>
  </conditionalFormatting>
  <conditionalFormatting sqref="C36">
    <cfRule type="cellIs" dxfId="0" priority="56" stopIfTrue="1" operator="equal">
      <formula>0</formula>
    </cfRule>
  </conditionalFormatting>
  <conditionalFormatting sqref="E36">
    <cfRule type="cellIs" dxfId="0" priority="55" stopIfTrue="1" operator="equal">
      <formula>0</formula>
    </cfRule>
  </conditionalFormatting>
  <conditionalFormatting sqref="G36">
    <cfRule type="cellIs" dxfId="0" priority="59" stopIfTrue="1" operator="equal">
      <formula>0</formula>
    </cfRule>
  </conditionalFormatting>
  <conditionalFormatting sqref="H36">
    <cfRule type="cellIs" dxfId="0" priority="58" stopIfTrue="1" operator="equal">
      <formula>0</formula>
    </cfRule>
  </conditionalFormatting>
  <conditionalFormatting sqref="I36">
    <cfRule type="cellIs" dxfId="0" priority="57" stopIfTrue="1" operator="equal">
      <formula>0</formula>
    </cfRule>
  </conditionalFormatting>
  <conditionalFormatting sqref="J36">
    <cfRule type="cellIs" dxfId="0" priority="588" stopIfTrue="1" operator="equal">
      <formula>0</formula>
    </cfRule>
  </conditionalFormatting>
  <conditionalFormatting sqref="K36:IR36">
    <cfRule type="cellIs" dxfId="0" priority="589" stopIfTrue="1" operator="equal">
      <formula>0</formula>
    </cfRule>
  </conditionalFormatting>
  <conditionalFormatting sqref="C37">
    <cfRule type="cellIs" dxfId="0" priority="66" stopIfTrue="1" operator="equal">
      <formula>0</formula>
    </cfRule>
  </conditionalFormatting>
  <conditionalFormatting sqref="E37">
    <cfRule type="cellIs" dxfId="0" priority="64" stopIfTrue="1" operator="equal">
      <formula>0</formula>
    </cfRule>
  </conditionalFormatting>
  <conditionalFormatting sqref="H37">
    <cfRule type="cellIs" dxfId="0" priority="62" stopIfTrue="1" operator="equal">
      <formula>0</formula>
    </cfRule>
  </conditionalFormatting>
  <conditionalFormatting sqref="C38">
    <cfRule type="cellIs" dxfId="0" priority="65" stopIfTrue="1" operator="equal">
      <formula>0</formula>
    </cfRule>
  </conditionalFormatting>
  <conditionalFormatting sqref="E38">
    <cfRule type="cellIs" dxfId="0" priority="63" stopIfTrue="1" operator="equal">
      <formula>0</formula>
    </cfRule>
  </conditionalFormatting>
  <conditionalFormatting sqref="H38">
    <cfRule type="cellIs" dxfId="0" priority="61" stopIfTrue="1" operator="equal">
      <formula>0</formula>
    </cfRule>
  </conditionalFormatting>
  <conditionalFormatting sqref="C39">
    <cfRule type="cellIs" dxfId="0" priority="402" stopIfTrue="1" operator="equal">
      <formula>0</formula>
    </cfRule>
  </conditionalFormatting>
  <conditionalFormatting sqref="G39">
    <cfRule type="cellIs" dxfId="0" priority="389" stopIfTrue="1" operator="equal">
      <formula>0</formula>
    </cfRule>
  </conditionalFormatting>
  <conditionalFormatting sqref="H39">
    <cfRule type="cellIs" dxfId="0" priority="401" stopIfTrue="1" operator="equal">
      <formula>0</formula>
    </cfRule>
  </conditionalFormatting>
  <conditionalFormatting sqref="C40">
    <cfRule type="cellIs" dxfId="0" priority="75" stopIfTrue="1" operator="equal">
      <formula>0</formula>
    </cfRule>
  </conditionalFormatting>
  <conditionalFormatting sqref="G40">
    <cfRule type="cellIs" dxfId="0" priority="73" stopIfTrue="1" operator="equal">
      <formula>0</formula>
    </cfRule>
  </conditionalFormatting>
  <conditionalFormatting sqref="H40">
    <cfRule type="cellIs" dxfId="0" priority="74" stopIfTrue="1" operator="equal">
      <formula>0</formula>
    </cfRule>
  </conditionalFormatting>
  <conditionalFormatting sqref="J40:IR40">
    <cfRule type="cellIs" dxfId="0" priority="612" stopIfTrue="1" operator="equal">
      <formula>0</formula>
    </cfRule>
  </conditionalFormatting>
  <conditionalFormatting sqref="C41">
    <cfRule type="cellIs" dxfId="0" priority="84" stopIfTrue="1" operator="equal">
      <formula>0</formula>
    </cfRule>
  </conditionalFormatting>
  <conditionalFormatting sqref="G41">
    <cfRule type="cellIs" dxfId="0" priority="80" stopIfTrue="1" operator="equal">
      <formula>0</formula>
    </cfRule>
  </conditionalFormatting>
  <conditionalFormatting sqref="H41">
    <cfRule type="cellIs" dxfId="0" priority="81" stopIfTrue="1" operator="equal">
      <formula>0</formula>
    </cfRule>
  </conditionalFormatting>
  <conditionalFormatting sqref="J41">
    <cfRule type="cellIs" dxfId="0" priority="618" stopIfTrue="1" operator="equal">
      <formula>0</formula>
    </cfRule>
  </conditionalFormatting>
  <conditionalFormatting sqref="C42">
    <cfRule type="cellIs" dxfId="0" priority="83" stopIfTrue="1" operator="equal">
      <formula>0</formula>
    </cfRule>
  </conditionalFormatting>
  <conditionalFormatting sqref="G42">
    <cfRule type="cellIs" dxfId="0" priority="77" stopIfTrue="1" operator="equal">
      <formula>0</formula>
    </cfRule>
  </conditionalFormatting>
  <conditionalFormatting sqref="H42">
    <cfRule type="cellIs" dxfId="0" priority="78" stopIfTrue="1" operator="equal">
      <formula>0</formula>
    </cfRule>
  </conditionalFormatting>
  <conditionalFormatting sqref="J42">
    <cfRule type="cellIs" dxfId="0" priority="608" stopIfTrue="1" operator="equal">
      <formula>0</formula>
    </cfRule>
  </conditionalFormatting>
  <conditionalFormatting sqref="C43">
    <cfRule type="cellIs" dxfId="0" priority="371" stopIfTrue="1" operator="equal">
      <formula>0</formula>
    </cfRule>
  </conditionalFormatting>
  <conditionalFormatting sqref="I43">
    <cfRule type="cellIs" dxfId="0" priority="338" stopIfTrue="1" operator="equal">
      <formula>0</formula>
    </cfRule>
  </conditionalFormatting>
  <conditionalFormatting sqref="J43:IR43">
    <cfRule type="cellIs" dxfId="0" priority="980" stopIfTrue="1" operator="equal">
      <formula>0</formula>
    </cfRule>
  </conditionalFormatting>
  <conditionalFormatting sqref="C44">
    <cfRule type="cellIs" dxfId="0" priority="384" stopIfTrue="1" operator="equal">
      <formula>0</formula>
    </cfRule>
  </conditionalFormatting>
  <conditionalFormatting sqref="H44">
    <cfRule type="cellIs" dxfId="0" priority="383" stopIfTrue="1" operator="equal">
      <formula>0</formula>
    </cfRule>
  </conditionalFormatting>
  <conditionalFormatting sqref="I44">
    <cfRule type="cellIs" dxfId="0" priority="337" stopIfTrue="1" operator="equal">
      <formula>0</formula>
    </cfRule>
  </conditionalFormatting>
  <conditionalFormatting sqref="J44:IR44">
    <cfRule type="cellIs" dxfId="0" priority="995" stopIfTrue="1" operator="equal">
      <formula>0</formula>
    </cfRule>
  </conditionalFormatting>
  <conditionalFormatting sqref="C45">
    <cfRule type="cellIs" dxfId="0" priority="377" stopIfTrue="1" operator="equal">
      <formula>0</formula>
    </cfRule>
  </conditionalFormatting>
  <conditionalFormatting sqref="H45">
    <cfRule type="cellIs" dxfId="0" priority="376" stopIfTrue="1" operator="equal">
      <formula>0</formula>
    </cfRule>
  </conditionalFormatting>
  <conditionalFormatting sqref="I45">
    <cfRule type="cellIs" dxfId="0" priority="336" stopIfTrue="1" operator="equal">
      <formula>0</formula>
    </cfRule>
  </conditionalFormatting>
  <conditionalFormatting sqref="C46">
    <cfRule type="cellIs" dxfId="0" priority="334" stopIfTrue="1" operator="equal">
      <formula>0</formula>
    </cfRule>
  </conditionalFormatting>
  <conditionalFormatting sqref="H46">
    <cfRule type="cellIs" dxfId="0" priority="333" stopIfTrue="1" operator="equal">
      <formula>0</formula>
    </cfRule>
  </conditionalFormatting>
  <conditionalFormatting sqref="I46">
    <cfRule type="cellIs" dxfId="0" priority="332" stopIfTrue="1" operator="equal">
      <formula>0</formula>
    </cfRule>
  </conditionalFormatting>
  <conditionalFormatting sqref="C47">
    <cfRule type="cellIs" dxfId="0" priority="53" stopIfTrue="1" operator="equal">
      <formula>0</formula>
    </cfRule>
  </conditionalFormatting>
  <conditionalFormatting sqref="E47">
    <cfRule type="cellIs" dxfId="0" priority="52" stopIfTrue="1" operator="equal">
      <formula>0</formula>
    </cfRule>
  </conditionalFormatting>
  <conditionalFormatting sqref="G47">
    <cfRule type="cellIs" dxfId="0" priority="54" stopIfTrue="1" operator="equal">
      <formula>0</formula>
    </cfRule>
  </conditionalFormatting>
  <conditionalFormatting sqref="H47">
    <cfRule type="cellIs" dxfId="0" priority="51" stopIfTrue="1" operator="equal">
      <formula>0</formula>
    </cfRule>
  </conditionalFormatting>
  <conditionalFormatting sqref="I47">
    <cfRule type="cellIs" dxfId="0" priority="50" stopIfTrue="1" operator="equal">
      <formula>0</formula>
    </cfRule>
  </conditionalFormatting>
  <conditionalFormatting sqref="J47">
    <cfRule type="cellIs" dxfId="0" priority="582" stopIfTrue="1" operator="equal">
      <formula>0</formula>
    </cfRule>
  </conditionalFormatting>
  <conditionalFormatting sqref="K47:IR47">
    <cfRule type="cellIs" dxfId="0" priority="583" stopIfTrue="1" operator="equal">
      <formula>0</formula>
    </cfRule>
  </conditionalFormatting>
  <conditionalFormatting sqref="C48">
    <cfRule type="cellIs" dxfId="0" priority="310" stopIfTrue="1" operator="equal">
      <formula>0</formula>
    </cfRule>
  </conditionalFormatting>
  <conditionalFormatting sqref="E48">
    <cfRule type="cellIs" dxfId="0" priority="311" stopIfTrue="1" operator="equal">
      <formula>0</formula>
    </cfRule>
  </conditionalFormatting>
  <conditionalFormatting sqref="G48">
    <cfRule type="cellIs" dxfId="0" priority="301" stopIfTrue="1" operator="equal">
      <formula>0</formula>
    </cfRule>
  </conditionalFormatting>
  <conditionalFormatting sqref="H48">
    <cfRule type="cellIs" dxfId="0" priority="302" stopIfTrue="1" operator="equal">
      <formula>0</formula>
    </cfRule>
  </conditionalFormatting>
  <conditionalFormatting sqref="I48">
    <cfRule type="cellIs" dxfId="0" priority="300" stopIfTrue="1" operator="equal">
      <formula>0</formula>
    </cfRule>
  </conditionalFormatting>
  <conditionalFormatting sqref="C49">
    <cfRule type="cellIs" dxfId="0" priority="307" stopIfTrue="1" operator="equal">
      <formula>0</formula>
    </cfRule>
  </conditionalFormatting>
  <conditionalFormatting sqref="G49">
    <cfRule type="cellIs" dxfId="0" priority="308" stopIfTrue="1" operator="equal">
      <formula>0</formula>
    </cfRule>
  </conditionalFormatting>
  <conditionalFormatting sqref="I49">
    <cfRule type="cellIs" dxfId="0" priority="306" stopIfTrue="1" operator="equal">
      <formula>0</formula>
    </cfRule>
  </conditionalFormatting>
  <conditionalFormatting sqref="C50">
    <cfRule type="cellIs" dxfId="0" priority="351" stopIfTrue="1" operator="equal">
      <formula>0</formula>
    </cfRule>
  </conditionalFormatting>
  <conditionalFormatting sqref="I50">
    <cfRule type="cellIs" dxfId="0" priority="346" stopIfTrue="1" operator="equal">
      <formula>0</formula>
    </cfRule>
  </conditionalFormatting>
  <conditionalFormatting sqref="J50:IR50">
    <cfRule type="cellIs" dxfId="0" priority="964" stopIfTrue="1" operator="equal">
      <formula>0</formula>
    </cfRule>
  </conditionalFormatting>
  <conditionalFormatting sqref="C51">
    <cfRule type="cellIs" dxfId="0" priority="347" stopIfTrue="1" operator="equal">
      <formula>0</formula>
    </cfRule>
  </conditionalFormatting>
  <conditionalFormatting sqref="J51:IR51">
    <cfRule type="cellIs" dxfId="0" priority="992" stopIfTrue="1" operator="equal">
      <formula>0</formula>
    </cfRule>
  </conditionalFormatting>
  <conditionalFormatting sqref="C52">
    <cfRule type="cellIs" dxfId="0" priority="498" stopIfTrue="1" operator="equal">
      <formula>0</formula>
    </cfRule>
  </conditionalFormatting>
  <conditionalFormatting sqref="C53">
    <cfRule type="cellIs" dxfId="0" priority="291" stopIfTrue="1" operator="equal">
      <formula>0</formula>
    </cfRule>
  </conditionalFormatting>
  <conditionalFormatting sqref="E53">
    <cfRule type="cellIs" dxfId="0" priority="289" stopIfTrue="1" operator="equal">
      <formula>0</formula>
    </cfRule>
  </conditionalFormatting>
  <conditionalFormatting sqref="G53">
    <cfRule type="cellIs" dxfId="0" priority="292" stopIfTrue="1" operator="equal">
      <formula>0</formula>
    </cfRule>
  </conditionalFormatting>
  <conditionalFormatting sqref="H53">
    <cfRule type="cellIs" dxfId="0" priority="290" stopIfTrue="1" operator="equal">
      <formula>0</formula>
    </cfRule>
  </conditionalFormatting>
  <conditionalFormatting sqref="I53">
    <cfRule type="cellIs" dxfId="0" priority="288" stopIfTrue="1" operator="equal">
      <formula>0</formula>
    </cfRule>
  </conditionalFormatting>
  <conditionalFormatting sqref="C54">
    <cfRule type="cellIs" dxfId="0" priority="276" stopIfTrue="1" operator="equal">
      <formula>0</formula>
    </cfRule>
  </conditionalFormatting>
  <conditionalFormatting sqref="H54">
    <cfRule type="cellIs" dxfId="0" priority="275" stopIfTrue="1" operator="equal">
      <formula>0</formula>
    </cfRule>
  </conditionalFormatting>
  <conditionalFormatting sqref="J54">
    <cfRule type="cellIs" dxfId="0" priority="870" stopIfTrue="1" operator="equal">
      <formula>0</formula>
    </cfRule>
  </conditionalFormatting>
  <conditionalFormatting sqref="C55">
    <cfRule type="cellIs" dxfId="0" priority="279" stopIfTrue="1" operator="equal">
      <formula>0</formula>
    </cfRule>
  </conditionalFormatting>
  <conditionalFormatting sqref="H55">
    <cfRule type="cellIs" dxfId="0" priority="278" stopIfTrue="1" operator="equal">
      <formula>0</formula>
    </cfRule>
  </conditionalFormatting>
  <conditionalFormatting sqref="C56">
    <cfRule type="cellIs" dxfId="0" priority="282" stopIfTrue="1" operator="equal">
      <formula>0</formula>
    </cfRule>
  </conditionalFormatting>
  <conditionalFormatting sqref="H56">
    <cfRule type="cellIs" dxfId="0" priority="281" stopIfTrue="1" operator="equal">
      <formula>0</formula>
    </cfRule>
  </conditionalFormatting>
  <conditionalFormatting sqref="C57">
    <cfRule type="cellIs" dxfId="0" priority="368" stopIfTrue="1" operator="equal">
      <formula>0</formula>
    </cfRule>
  </conditionalFormatting>
  <conditionalFormatting sqref="H57">
    <cfRule type="cellIs" dxfId="0" priority="367" stopIfTrue="1" operator="equal">
      <formula>0</formula>
    </cfRule>
  </conditionalFormatting>
  <conditionalFormatting sqref="C58">
    <cfRule type="cellIs" dxfId="0" priority="387" stopIfTrue="1" operator="equal">
      <formula>0</formula>
    </cfRule>
  </conditionalFormatting>
  <conditionalFormatting sqref="H58">
    <cfRule type="cellIs" dxfId="0" priority="386" stopIfTrue="1" operator="equal">
      <formula>0</formula>
    </cfRule>
  </conditionalFormatting>
  <conditionalFormatting sqref="K58:N58">
    <cfRule type="cellIs" dxfId="0" priority="971" stopIfTrue="1" operator="equal">
      <formula>0</formula>
    </cfRule>
  </conditionalFormatting>
  <conditionalFormatting sqref="C59">
    <cfRule type="cellIs" dxfId="0" priority="497" stopIfTrue="1" operator="equal">
      <formula>0</formula>
    </cfRule>
  </conditionalFormatting>
  <conditionalFormatting sqref="C60">
    <cfRule type="cellIs" dxfId="0" priority="496" stopIfTrue="1" operator="equal">
      <formula>0</formula>
    </cfRule>
  </conditionalFormatting>
  <conditionalFormatting sqref="C61">
    <cfRule type="cellIs" dxfId="0" priority="391" stopIfTrue="1" operator="equal">
      <formula>0</formula>
    </cfRule>
  </conditionalFormatting>
  <conditionalFormatting sqref="H61">
    <cfRule type="cellIs" dxfId="0" priority="390" stopIfTrue="1" operator="equal">
      <formula>0</formula>
    </cfRule>
  </conditionalFormatting>
  <conditionalFormatting sqref="J61:IR61">
    <cfRule type="cellIs" dxfId="0" priority="1004" stopIfTrue="1" operator="equal">
      <formula>0</formula>
    </cfRule>
  </conditionalFormatting>
  <conditionalFormatting sqref="C62">
    <cfRule type="cellIs" dxfId="0" priority="494" stopIfTrue="1" operator="equal">
      <formula>0</formula>
    </cfRule>
  </conditionalFormatting>
  <conditionalFormatting sqref="C63">
    <cfRule type="cellIs" dxfId="0" priority="286" stopIfTrue="1" operator="equal">
      <formula>0</formula>
    </cfRule>
  </conditionalFormatting>
  <conditionalFormatting sqref="E63">
    <cfRule type="cellIs" dxfId="0" priority="284" stopIfTrue="1" operator="equal">
      <formula>0</formula>
    </cfRule>
  </conditionalFormatting>
  <conditionalFormatting sqref="H63">
    <cfRule type="cellIs" dxfId="0" priority="285" stopIfTrue="1" operator="equal">
      <formula>0</formula>
    </cfRule>
  </conditionalFormatting>
  <conditionalFormatting sqref="J63">
    <cfRule type="cellIs" dxfId="0" priority="880" stopIfTrue="1" operator="equal">
      <formula>0</formula>
    </cfRule>
  </conditionalFormatting>
  <conditionalFormatting sqref="K63">
    <cfRule type="cellIs" dxfId="0" priority="881" stopIfTrue="1" operator="equal">
      <formula>0</formula>
    </cfRule>
  </conditionalFormatting>
  <conditionalFormatting sqref="C64">
    <cfRule type="cellIs" dxfId="0" priority="493" stopIfTrue="1" operator="equal">
      <formula>0</formula>
    </cfRule>
  </conditionalFormatting>
  <conditionalFormatting sqref="C65">
    <cfRule type="cellIs" dxfId="0" priority="491" stopIfTrue="1" operator="equal">
      <formula>0</formula>
    </cfRule>
  </conditionalFormatting>
  <conditionalFormatting sqref="F65">
    <cfRule type="cellIs" dxfId="0" priority="354" stopIfTrue="1" operator="equal">
      <formula>0</formula>
    </cfRule>
  </conditionalFormatting>
  <conditionalFormatting sqref="J65:IR65">
    <cfRule type="cellIs" dxfId="0" priority="1124" stopIfTrue="1" operator="equal">
      <formula>0</formula>
    </cfRule>
  </conditionalFormatting>
  <conditionalFormatting sqref="C66">
    <cfRule type="cellIs" dxfId="0" priority="489" stopIfTrue="1" operator="equal">
      <formula>0</formula>
    </cfRule>
  </conditionalFormatting>
  <conditionalFormatting sqref="J66:IR66">
    <cfRule type="cellIs" dxfId="0" priority="1122" stopIfTrue="1" operator="equal">
      <formula>0</formula>
    </cfRule>
  </conditionalFormatting>
  <conditionalFormatting sqref="J67:IR67">
    <cfRule type="cellIs" dxfId="0" priority="1120" stopIfTrue="1" operator="equal">
      <formula>0</formula>
    </cfRule>
  </conditionalFormatting>
  <conditionalFormatting sqref="C68">
    <cfRule type="cellIs" dxfId="0" priority="304" stopIfTrue="1" operator="equal">
      <formula>0</formula>
    </cfRule>
  </conditionalFormatting>
  <conditionalFormatting sqref="H68">
    <cfRule type="cellIs" dxfId="0" priority="303" stopIfTrue="1" operator="equal">
      <formula>0</formula>
    </cfRule>
  </conditionalFormatting>
  <conditionalFormatting sqref="J68:IR68">
    <cfRule type="cellIs" dxfId="0" priority="968" stopIfTrue="1" operator="equal">
      <formula>0</formula>
    </cfRule>
  </conditionalFormatting>
  <conditionalFormatting sqref="C69">
    <cfRule type="cellIs" dxfId="0" priority="396" stopIfTrue="1" operator="equal">
      <formula>0</formula>
    </cfRule>
  </conditionalFormatting>
  <conditionalFormatting sqref="H69">
    <cfRule type="cellIs" dxfId="0" priority="395" stopIfTrue="1" operator="equal">
      <formula>0</formula>
    </cfRule>
  </conditionalFormatting>
  <conditionalFormatting sqref="J69:IR69">
    <cfRule type="cellIs" dxfId="0" priority="1011" stopIfTrue="1" operator="equal">
      <formula>0</formula>
    </cfRule>
  </conditionalFormatting>
  <conditionalFormatting sqref="C70">
    <cfRule type="cellIs" dxfId="0" priority="399" stopIfTrue="1" operator="equal">
      <formula>0</formula>
    </cfRule>
  </conditionalFormatting>
  <conditionalFormatting sqref="H70">
    <cfRule type="cellIs" dxfId="0" priority="398" stopIfTrue="1" operator="equal">
      <formula>0</formula>
    </cfRule>
  </conditionalFormatting>
  <conditionalFormatting sqref="J70:IR70">
    <cfRule type="cellIs" dxfId="0" priority="1014" stopIfTrue="1" operator="equal">
      <formula>0</formula>
    </cfRule>
  </conditionalFormatting>
  <conditionalFormatting sqref="C71">
    <cfRule type="cellIs" dxfId="0" priority="404" stopIfTrue="1" operator="equal">
      <formula>0</formula>
    </cfRule>
  </conditionalFormatting>
  <conditionalFormatting sqref="J71:IR71">
    <cfRule type="cellIs" dxfId="0" priority="1019" stopIfTrue="1" operator="equal">
      <formula>0</formula>
    </cfRule>
  </conditionalFormatting>
  <conditionalFormatting sqref="C73">
    <cfRule type="cellIs" dxfId="0" priority="486" stopIfTrue="1" operator="equal">
      <formula>0</formula>
    </cfRule>
  </conditionalFormatting>
  <conditionalFormatting sqref="I73">
    <cfRule type="cellIs" dxfId="0" priority="485" stopIfTrue="1" operator="equal">
      <formula>0</formula>
    </cfRule>
  </conditionalFormatting>
  <conditionalFormatting sqref="I74">
    <cfRule type="cellIs" dxfId="0" priority="482" stopIfTrue="1" operator="equal">
      <formula>0</formula>
    </cfRule>
  </conditionalFormatting>
  <conditionalFormatting sqref="C75">
    <cfRule type="cellIs" dxfId="0" priority="483" stopIfTrue="1" operator="equal">
      <formula>0</formula>
    </cfRule>
  </conditionalFormatting>
  <conditionalFormatting sqref="I75">
    <cfRule type="cellIs" dxfId="0" priority="481" stopIfTrue="1" operator="equal">
      <formula>0</formula>
    </cfRule>
  </conditionalFormatting>
  <conditionalFormatting sqref="H79:I79">
    <cfRule type="cellIs" dxfId="0" priority="512" stopIfTrue="1" operator="equal">
      <formula>0</formula>
    </cfRule>
  </conditionalFormatting>
  <conditionalFormatting sqref="J79:IR79">
    <cfRule type="cellIs" dxfId="0" priority="1146" stopIfTrue="1" operator="equal">
      <formula>0</formula>
    </cfRule>
  </conditionalFormatting>
  <conditionalFormatting sqref="J80:IR80">
    <cfRule type="cellIs" dxfId="0" priority="1107" stopIfTrue="1" operator="equal">
      <formula>0</formula>
    </cfRule>
  </conditionalFormatting>
  <conditionalFormatting sqref="C81">
    <cfRule type="cellIs" dxfId="0" priority="151" stopIfTrue="1" operator="equal">
      <formula>0</formula>
    </cfRule>
  </conditionalFormatting>
  <conditionalFormatting sqref="E81">
    <cfRule type="cellIs" dxfId="0" priority="150" stopIfTrue="1" operator="equal">
      <formula>0</formula>
    </cfRule>
  </conditionalFormatting>
  <conditionalFormatting sqref="G81:I81">
    <cfRule type="cellIs" dxfId="0" priority="152" stopIfTrue="1" operator="equal">
      <formula>0</formula>
    </cfRule>
  </conditionalFormatting>
  <conditionalFormatting sqref="C82">
    <cfRule type="cellIs" dxfId="0" priority="153" stopIfTrue="1" operator="equal">
      <formula>0</formula>
    </cfRule>
  </conditionalFormatting>
  <conditionalFormatting sqref="E82:I82">
    <cfRule type="cellIs" dxfId="0" priority="154" stopIfTrue="1" operator="equal">
      <formula>0</formula>
    </cfRule>
  </conditionalFormatting>
  <conditionalFormatting sqref="C83">
    <cfRule type="cellIs" dxfId="0" priority="273" stopIfTrue="1" operator="equal">
      <formula>0</formula>
    </cfRule>
  </conditionalFormatting>
  <conditionalFormatting sqref="H83">
    <cfRule type="cellIs" dxfId="0" priority="272" stopIfTrue="1" operator="equal">
      <formula>0</formula>
    </cfRule>
  </conditionalFormatting>
  <conditionalFormatting sqref="J83">
    <cfRule type="cellIs" dxfId="0" priority="866" stopIfTrue="1" operator="equal">
      <formula>0</formula>
    </cfRule>
  </conditionalFormatting>
  <conditionalFormatting sqref="C84">
    <cfRule type="cellIs" dxfId="0" priority="259" stopIfTrue="1" operator="equal">
      <formula>0</formula>
    </cfRule>
  </conditionalFormatting>
  <conditionalFormatting sqref="I84">
    <cfRule type="cellIs" dxfId="0" priority="240" stopIfTrue="1" operator="equal">
      <formula>0</formula>
    </cfRule>
  </conditionalFormatting>
  <conditionalFormatting sqref="J84">
    <cfRule type="cellIs" dxfId="0" priority="851" stopIfTrue="1" operator="equal">
      <formula>0</formula>
    </cfRule>
  </conditionalFormatting>
  <conditionalFormatting sqref="C85">
    <cfRule type="cellIs" dxfId="0" priority="269" stopIfTrue="1" operator="equal">
      <formula>0</formula>
    </cfRule>
  </conditionalFormatting>
  <conditionalFormatting sqref="E85:G85">
    <cfRule type="cellIs" dxfId="0" priority="270" stopIfTrue="1" operator="equal">
      <formula>0</formula>
    </cfRule>
  </conditionalFormatting>
  <conditionalFormatting sqref="H85">
    <cfRule type="cellIs" dxfId="0" priority="268" stopIfTrue="1" operator="equal">
      <formula>0</formula>
    </cfRule>
  </conditionalFormatting>
  <conditionalFormatting sqref="I85">
    <cfRule type="cellIs" dxfId="0" priority="241" stopIfTrue="1" operator="equal">
      <formula>0</formula>
    </cfRule>
  </conditionalFormatting>
  <conditionalFormatting sqref="J85">
    <cfRule type="cellIs" dxfId="0" priority="862" stopIfTrue="1" operator="equal">
      <formula>0</formula>
    </cfRule>
  </conditionalFormatting>
  <conditionalFormatting sqref="C86">
    <cfRule type="cellIs" dxfId="0" priority="254" stopIfTrue="1" operator="equal">
      <formula>0</formula>
    </cfRule>
  </conditionalFormatting>
  <conditionalFormatting sqref="H86">
    <cfRule type="cellIs" dxfId="0" priority="253" stopIfTrue="1" operator="equal">
      <formula>0</formula>
    </cfRule>
  </conditionalFormatting>
  <conditionalFormatting sqref="I86">
    <cfRule type="cellIs" dxfId="0" priority="242" stopIfTrue="1" operator="equal">
      <formula>0</formula>
    </cfRule>
  </conditionalFormatting>
  <conditionalFormatting sqref="C87">
    <cfRule type="cellIs" dxfId="0" priority="245" stopIfTrue="1" operator="equal">
      <formula>0</formula>
    </cfRule>
  </conditionalFormatting>
  <conditionalFormatting sqref="H87">
    <cfRule type="cellIs" dxfId="0" priority="244" stopIfTrue="1" operator="equal">
      <formula>0</formula>
    </cfRule>
  </conditionalFormatting>
  <conditionalFormatting sqref="I87">
    <cfRule type="cellIs" dxfId="0" priority="243" stopIfTrue="1" operator="equal">
      <formula>0</formula>
    </cfRule>
  </conditionalFormatting>
  <conditionalFormatting sqref="C88">
    <cfRule type="cellIs" dxfId="0" priority="69" stopIfTrue="1" operator="equal">
      <formula>0</formula>
    </cfRule>
  </conditionalFormatting>
  <conditionalFormatting sqref="E88">
    <cfRule type="cellIs" dxfId="0" priority="68" stopIfTrue="1" operator="equal">
      <formula>0</formula>
    </cfRule>
  </conditionalFormatting>
  <conditionalFormatting sqref="G88">
    <cfRule type="cellIs" dxfId="0" priority="72" stopIfTrue="1" operator="equal">
      <formula>0</formula>
    </cfRule>
  </conditionalFormatting>
  <conditionalFormatting sqref="H88">
    <cfRule type="cellIs" dxfId="0" priority="71" stopIfTrue="1" operator="equal">
      <formula>0</formula>
    </cfRule>
  </conditionalFormatting>
  <conditionalFormatting sqref="I88">
    <cfRule type="cellIs" dxfId="0" priority="70" stopIfTrue="1" operator="equal">
      <formula>0</formula>
    </cfRule>
  </conditionalFormatting>
  <conditionalFormatting sqref="J88">
    <cfRule type="cellIs" dxfId="0" priority="606" stopIfTrue="1" operator="equal">
      <formula>0</formula>
    </cfRule>
  </conditionalFormatting>
  <conditionalFormatting sqref="K88:IR88">
    <cfRule type="cellIs" dxfId="0" priority="607" stopIfTrue="1" operator="equal">
      <formula>0</formula>
    </cfRule>
  </conditionalFormatting>
  <conditionalFormatting sqref="C89">
    <cfRule type="cellIs" dxfId="0" priority="96" stopIfTrue="1" operator="equal">
      <formula>0</formula>
    </cfRule>
  </conditionalFormatting>
  <conditionalFormatting sqref="E89">
    <cfRule type="cellIs" dxfId="0" priority="94" stopIfTrue="1" operator="equal">
      <formula>0</formula>
    </cfRule>
  </conditionalFormatting>
  <conditionalFormatting sqref="H89">
    <cfRule type="cellIs" dxfId="0" priority="92" stopIfTrue="1" operator="equal">
      <formula>0</formula>
    </cfRule>
  </conditionalFormatting>
  <conditionalFormatting sqref="C90">
    <cfRule type="cellIs" dxfId="0" priority="95" stopIfTrue="1" operator="equal">
      <formula>0</formula>
    </cfRule>
  </conditionalFormatting>
  <conditionalFormatting sqref="E90">
    <cfRule type="cellIs" dxfId="0" priority="93" stopIfTrue="1" operator="equal">
      <formula>0</formula>
    </cfRule>
  </conditionalFormatting>
  <conditionalFormatting sqref="H90">
    <cfRule type="cellIs" dxfId="0" priority="91" stopIfTrue="1" operator="equal">
      <formula>0</formula>
    </cfRule>
  </conditionalFormatting>
  <conditionalFormatting sqref="C91">
    <cfRule type="cellIs" dxfId="0" priority="266" stopIfTrue="1" operator="equal">
      <formula>0</formula>
    </cfRule>
  </conditionalFormatting>
  <conditionalFormatting sqref="G91">
    <cfRule type="cellIs" dxfId="0" priority="264" stopIfTrue="1" operator="equal">
      <formula>0</formula>
    </cfRule>
  </conditionalFormatting>
  <conditionalFormatting sqref="H91">
    <cfRule type="cellIs" dxfId="0" priority="265" stopIfTrue="1" operator="equal">
      <formula>0</formula>
    </cfRule>
  </conditionalFormatting>
  <conditionalFormatting sqref="J91">
    <cfRule type="cellIs" dxfId="0" priority="859" stopIfTrue="1" operator="equal">
      <formula>0</formula>
    </cfRule>
  </conditionalFormatting>
  <conditionalFormatting sqref="C92">
    <cfRule type="cellIs" dxfId="0" priority="38" stopIfTrue="1" operator="equal">
      <formula>0</formula>
    </cfRule>
  </conditionalFormatting>
  <conditionalFormatting sqref="G92">
    <cfRule type="cellIs" dxfId="0" priority="36" stopIfTrue="1" operator="equal">
      <formula>0</formula>
    </cfRule>
  </conditionalFormatting>
  <conditionalFormatting sqref="H92">
    <cfRule type="cellIs" dxfId="0" priority="37" stopIfTrue="1" operator="equal">
      <formula>0</formula>
    </cfRule>
  </conditionalFormatting>
  <conditionalFormatting sqref="J92:IR92">
    <cfRule type="cellIs" dxfId="0" priority="564" stopIfTrue="1" operator="equal">
      <formula>0</formula>
    </cfRule>
  </conditionalFormatting>
  <conditionalFormatting sqref="C93">
    <cfRule type="cellIs" dxfId="0" priority="47" stopIfTrue="1" operator="equal">
      <formula>0</formula>
    </cfRule>
  </conditionalFormatting>
  <conditionalFormatting sqref="G93">
    <cfRule type="cellIs" dxfId="0" priority="43" stopIfTrue="1" operator="equal">
      <formula>0</formula>
    </cfRule>
  </conditionalFormatting>
  <conditionalFormatting sqref="H93">
    <cfRule type="cellIs" dxfId="0" priority="44" stopIfTrue="1" operator="equal">
      <formula>0</formula>
    </cfRule>
  </conditionalFormatting>
  <conditionalFormatting sqref="J93">
    <cfRule type="cellIs" dxfId="0" priority="570" stopIfTrue="1" operator="equal">
      <formula>0</formula>
    </cfRule>
  </conditionalFormatting>
  <conditionalFormatting sqref="C94">
    <cfRule type="cellIs" dxfId="0" priority="46" stopIfTrue="1" operator="equal">
      <formula>0</formula>
    </cfRule>
  </conditionalFormatting>
  <conditionalFormatting sqref="G94">
    <cfRule type="cellIs" dxfId="0" priority="40" stopIfTrue="1" operator="equal">
      <formula>0</formula>
    </cfRule>
  </conditionalFormatting>
  <conditionalFormatting sqref="H94">
    <cfRule type="cellIs" dxfId="0" priority="41" stopIfTrue="1" operator="equal">
      <formula>0</formula>
    </cfRule>
  </conditionalFormatting>
  <conditionalFormatting sqref="J94">
    <cfRule type="cellIs" dxfId="0" priority="560" stopIfTrue="1" operator="equal">
      <formula>0</formula>
    </cfRule>
  </conditionalFormatting>
  <conditionalFormatting sqref="C95">
    <cfRule type="cellIs" dxfId="0" priority="251" stopIfTrue="1" operator="equal">
      <formula>0</formula>
    </cfRule>
  </conditionalFormatting>
  <conditionalFormatting sqref="I95">
    <cfRule type="cellIs" dxfId="0" priority="239" stopIfTrue="1" operator="equal">
      <formula>0</formula>
    </cfRule>
  </conditionalFormatting>
  <conditionalFormatting sqref="J95">
    <cfRule type="cellIs" dxfId="0" priority="843" stopIfTrue="1" operator="equal">
      <formula>0</formula>
    </cfRule>
  </conditionalFormatting>
  <conditionalFormatting sqref="C96">
    <cfRule type="cellIs" dxfId="0" priority="262" stopIfTrue="1" operator="equal">
      <formula>0</formula>
    </cfRule>
  </conditionalFormatting>
  <conditionalFormatting sqref="H96">
    <cfRule type="cellIs" dxfId="0" priority="261" stopIfTrue="1" operator="equal">
      <formula>0</formula>
    </cfRule>
  </conditionalFormatting>
  <conditionalFormatting sqref="I96">
    <cfRule type="cellIs" dxfId="0" priority="238" stopIfTrue="1" operator="equal">
      <formula>0</formula>
    </cfRule>
  </conditionalFormatting>
  <conditionalFormatting sqref="J96">
    <cfRule type="cellIs" dxfId="0" priority="855" stopIfTrue="1" operator="equal">
      <formula>0</formula>
    </cfRule>
  </conditionalFormatting>
  <conditionalFormatting sqref="C97">
    <cfRule type="cellIs" dxfId="0" priority="257" stopIfTrue="1" operator="equal">
      <formula>0</formula>
    </cfRule>
  </conditionalFormatting>
  <conditionalFormatting sqref="H97">
    <cfRule type="cellIs" dxfId="0" priority="256" stopIfTrue="1" operator="equal">
      <formula>0</formula>
    </cfRule>
  </conditionalFormatting>
  <conditionalFormatting sqref="I97">
    <cfRule type="cellIs" dxfId="0" priority="237" stopIfTrue="1" operator="equal">
      <formula>0</formula>
    </cfRule>
  </conditionalFormatting>
  <conditionalFormatting sqref="C98">
    <cfRule type="cellIs" dxfId="0" priority="235" stopIfTrue="1" operator="equal">
      <formula>0</formula>
    </cfRule>
  </conditionalFormatting>
  <conditionalFormatting sqref="H98">
    <cfRule type="cellIs" dxfId="0" priority="234" stopIfTrue="1" operator="equal">
      <formula>0</formula>
    </cfRule>
  </conditionalFormatting>
  <conditionalFormatting sqref="I98">
    <cfRule type="cellIs" dxfId="0" priority="233" stopIfTrue="1" operator="equal">
      <formula>0</formula>
    </cfRule>
  </conditionalFormatting>
  <conditionalFormatting sqref="C99">
    <cfRule type="cellIs" dxfId="0" priority="88" stopIfTrue="1" operator="equal">
      <formula>0</formula>
    </cfRule>
  </conditionalFormatting>
  <conditionalFormatting sqref="E99">
    <cfRule type="cellIs" dxfId="0" priority="87" stopIfTrue="1" operator="equal">
      <formula>0</formula>
    </cfRule>
  </conditionalFormatting>
  <conditionalFormatting sqref="G99">
    <cfRule type="cellIs" dxfId="0" priority="89" stopIfTrue="1" operator="equal">
      <formula>0</formula>
    </cfRule>
  </conditionalFormatting>
  <conditionalFormatting sqref="H99">
    <cfRule type="cellIs" dxfId="0" priority="86" stopIfTrue="1" operator="equal">
      <formula>0</formula>
    </cfRule>
  </conditionalFormatting>
  <conditionalFormatting sqref="I99">
    <cfRule type="cellIs" dxfId="0" priority="85" stopIfTrue="1" operator="equal">
      <formula>0</formula>
    </cfRule>
  </conditionalFormatting>
  <conditionalFormatting sqref="J99">
    <cfRule type="cellIs" dxfId="0" priority="627" stopIfTrue="1" operator="equal">
      <formula>0</formula>
    </cfRule>
  </conditionalFormatting>
  <conditionalFormatting sqref="K99:IR99">
    <cfRule type="cellIs" dxfId="0" priority="628" stopIfTrue="1" operator="equal">
      <formula>0</formula>
    </cfRule>
  </conditionalFormatting>
  <conditionalFormatting sqref="C100">
    <cfRule type="cellIs" dxfId="0" priority="231" stopIfTrue="1" operator="equal">
      <formula>0</formula>
    </cfRule>
  </conditionalFormatting>
  <conditionalFormatting sqref="E100">
    <cfRule type="cellIs" dxfId="0" priority="232" stopIfTrue="1" operator="equal">
      <formula>0</formula>
    </cfRule>
  </conditionalFormatting>
  <conditionalFormatting sqref="G100">
    <cfRule type="cellIs" dxfId="0" priority="225" stopIfTrue="1" operator="equal">
      <formula>0</formula>
    </cfRule>
  </conditionalFormatting>
  <conditionalFormatting sqref="H100">
    <cfRule type="cellIs" dxfId="0" priority="226" stopIfTrue="1" operator="equal">
      <formula>0</formula>
    </cfRule>
  </conditionalFormatting>
  <conditionalFormatting sqref="I100">
    <cfRule type="cellIs" dxfId="0" priority="48" stopIfTrue="1" operator="equal">
      <formula>0</formula>
    </cfRule>
  </conditionalFormatting>
  <conditionalFormatting sqref="K100:IR100">
    <cfRule type="cellIs" dxfId="0" priority="978" stopIfTrue="1" operator="equal">
      <formula>0</formula>
    </cfRule>
  </conditionalFormatting>
  <conditionalFormatting sqref="C101">
    <cfRule type="cellIs" dxfId="0" priority="228" stopIfTrue="1" operator="equal">
      <formula>0</formula>
    </cfRule>
  </conditionalFormatting>
  <conditionalFormatting sqref="G101">
    <cfRule type="cellIs" dxfId="0" priority="229" stopIfTrue="1" operator="equal">
      <formula>0</formula>
    </cfRule>
  </conditionalFormatting>
  <conditionalFormatting sqref="I101">
    <cfRule type="cellIs" dxfId="0" priority="227" stopIfTrue="1" operator="equal">
      <formula>0</formula>
    </cfRule>
  </conditionalFormatting>
  <conditionalFormatting sqref="K101:IR101">
    <cfRule type="cellIs" dxfId="0" priority="996" stopIfTrue="1" operator="equal">
      <formula>0</formula>
    </cfRule>
  </conditionalFormatting>
  <conditionalFormatting sqref="C102">
    <cfRule type="cellIs" dxfId="0" priority="249" stopIfTrue="1" operator="equal">
      <formula>0</formula>
    </cfRule>
  </conditionalFormatting>
  <conditionalFormatting sqref="I102">
    <cfRule type="cellIs" dxfId="0" priority="49" stopIfTrue="1" operator="equal">
      <formula>0</formula>
    </cfRule>
  </conditionalFormatting>
  <conditionalFormatting sqref="J102">
    <cfRule type="cellIs" dxfId="0" priority="841" stopIfTrue="1" operator="equal">
      <formula>0</formula>
    </cfRule>
  </conditionalFormatting>
  <conditionalFormatting sqref="K102:IR102">
    <cfRule type="cellIs" dxfId="0" priority="956" stopIfTrue="1" operator="equal">
      <formula>0</formula>
    </cfRule>
  </conditionalFormatting>
  <conditionalFormatting sqref="C103">
    <cfRule type="cellIs" dxfId="0" priority="247" stopIfTrue="1" operator="equal">
      <formula>0</formula>
    </cfRule>
  </conditionalFormatting>
  <conditionalFormatting sqref="J103">
    <cfRule type="cellIs" dxfId="0" priority="852" stopIfTrue="1" operator="equal">
      <formula>0</formula>
    </cfRule>
  </conditionalFormatting>
  <conditionalFormatting sqref="K103:IR103">
    <cfRule type="cellIs" dxfId="0" priority="977" stopIfTrue="1" operator="equal">
      <formula>0</formula>
    </cfRule>
  </conditionalFormatting>
  <conditionalFormatting sqref="C104">
    <cfRule type="cellIs" dxfId="0" priority="222" stopIfTrue="1" operator="equal">
      <formula>0</formula>
    </cfRule>
  </conditionalFormatting>
  <conditionalFormatting sqref="C105">
    <cfRule type="cellIs" dxfId="0" priority="188" stopIfTrue="1" operator="equal">
      <formula>0</formula>
    </cfRule>
  </conditionalFormatting>
  <conditionalFormatting sqref="E105">
    <cfRule type="cellIs" dxfId="0" priority="186" stopIfTrue="1" operator="equal">
      <formula>0</formula>
    </cfRule>
  </conditionalFormatting>
  <conditionalFormatting sqref="G105">
    <cfRule type="cellIs" dxfId="0" priority="189" stopIfTrue="1" operator="equal">
      <formula>0</formula>
    </cfRule>
  </conditionalFormatting>
  <conditionalFormatting sqref="H105">
    <cfRule type="cellIs" dxfId="0" priority="187" stopIfTrue="1" operator="equal">
      <formula>0</formula>
    </cfRule>
  </conditionalFormatting>
  <conditionalFormatting sqref="I105">
    <cfRule type="cellIs" dxfId="0" priority="185" stopIfTrue="1" operator="equal">
      <formula>0</formula>
    </cfRule>
  </conditionalFormatting>
  <conditionalFormatting sqref="C106">
    <cfRule type="cellIs" dxfId="0" priority="173" stopIfTrue="1" operator="equal">
      <formula>0</formula>
    </cfRule>
  </conditionalFormatting>
  <conditionalFormatting sqref="H106">
    <cfRule type="cellIs" dxfId="0" priority="172" stopIfTrue="1" operator="equal">
      <formula>0</formula>
    </cfRule>
  </conditionalFormatting>
  <conditionalFormatting sqref="J106">
    <cfRule type="cellIs" dxfId="0" priority="760" stopIfTrue="1" operator="equal">
      <formula>0</formula>
    </cfRule>
  </conditionalFormatting>
  <conditionalFormatting sqref="C107">
    <cfRule type="cellIs" dxfId="0" priority="176" stopIfTrue="1" operator="equal">
      <formula>0</formula>
    </cfRule>
  </conditionalFormatting>
  <conditionalFormatting sqref="H107">
    <cfRule type="cellIs" dxfId="0" priority="175" stopIfTrue="1" operator="equal">
      <formula>0</formula>
    </cfRule>
  </conditionalFormatting>
  <conditionalFormatting sqref="C108">
    <cfRule type="cellIs" dxfId="0" priority="179" stopIfTrue="1" operator="equal">
      <formula>0</formula>
    </cfRule>
  </conditionalFormatting>
  <conditionalFormatting sqref="H108">
    <cfRule type="cellIs" dxfId="0" priority="178" stopIfTrue="1" operator="equal">
      <formula>0</formula>
    </cfRule>
  </conditionalFormatting>
  <conditionalFormatting sqref="C109">
    <cfRule type="cellIs" dxfId="0" priority="195" stopIfTrue="1" operator="equal">
      <formula>0</formula>
    </cfRule>
  </conditionalFormatting>
  <conditionalFormatting sqref="H109">
    <cfRule type="cellIs" dxfId="0" priority="194" stopIfTrue="1" operator="equal">
      <formula>0</formula>
    </cfRule>
  </conditionalFormatting>
  <conditionalFormatting sqref="J109">
    <cfRule type="cellIs" dxfId="0" priority="785" stopIfTrue="1" operator="equal">
      <formula>0</formula>
    </cfRule>
  </conditionalFormatting>
  <conditionalFormatting sqref="C110">
    <cfRule type="cellIs" dxfId="0" priority="198" stopIfTrue="1" operator="equal">
      <formula>0</formula>
    </cfRule>
  </conditionalFormatting>
  <conditionalFormatting sqref="H110">
    <cfRule type="cellIs" dxfId="0" priority="197" stopIfTrue="1" operator="equal">
      <formula>0</formula>
    </cfRule>
  </conditionalFormatting>
  <conditionalFormatting sqref="J110">
    <cfRule type="cellIs" dxfId="0" priority="788" stopIfTrue="1" operator="equal">
      <formula>0</formula>
    </cfRule>
  </conditionalFormatting>
  <conditionalFormatting sqref="C111">
    <cfRule type="cellIs" dxfId="0" priority="221" stopIfTrue="1" operator="equal">
      <formula>0</formula>
    </cfRule>
  </conditionalFormatting>
  <conditionalFormatting sqref="C112">
    <cfRule type="cellIs" dxfId="0" priority="220" stopIfTrue="1" operator="equal">
      <formula>0</formula>
    </cfRule>
  </conditionalFormatting>
  <conditionalFormatting sqref="C113">
    <cfRule type="cellIs" dxfId="0" priority="201" stopIfTrue="1" operator="equal">
      <formula>0</formula>
    </cfRule>
  </conditionalFormatting>
  <conditionalFormatting sqref="H113">
    <cfRule type="cellIs" dxfId="0" priority="200" stopIfTrue="1" operator="equal">
      <formula>0</formula>
    </cfRule>
  </conditionalFormatting>
  <conditionalFormatting sqref="J113">
    <cfRule type="cellIs" dxfId="0" priority="791" stopIfTrue="1" operator="equal">
      <formula>0</formula>
    </cfRule>
  </conditionalFormatting>
  <conditionalFormatting sqref="C114">
    <cfRule type="cellIs" dxfId="0" priority="218" stopIfTrue="1" operator="equal">
      <formula>0</formula>
    </cfRule>
  </conditionalFormatting>
  <conditionalFormatting sqref="C115">
    <cfRule type="cellIs" dxfId="0" priority="183" stopIfTrue="1" operator="equal">
      <formula>0</formula>
    </cfRule>
  </conditionalFormatting>
  <conditionalFormatting sqref="E115">
    <cfRule type="cellIs" dxfId="0" priority="181" stopIfTrue="1" operator="equal">
      <formula>0</formula>
    </cfRule>
  </conditionalFormatting>
  <conditionalFormatting sqref="H115">
    <cfRule type="cellIs" dxfId="0" priority="182" stopIfTrue="1" operator="equal">
      <formula>0</formula>
    </cfRule>
  </conditionalFormatting>
  <conditionalFormatting sqref="J115">
    <cfRule type="cellIs" dxfId="0" priority="770" stopIfTrue="1" operator="equal">
      <formula>0</formula>
    </cfRule>
  </conditionalFormatting>
  <conditionalFormatting sqref="C116">
    <cfRule type="cellIs" dxfId="0" priority="217" stopIfTrue="1" operator="equal">
      <formula>0</formula>
    </cfRule>
  </conditionalFormatting>
  <conditionalFormatting sqref="K116:IR116">
    <cfRule type="cellIs" dxfId="0" priority="952" stopIfTrue="1" operator="equal">
      <formula>0</formula>
    </cfRule>
  </conditionalFormatting>
  <conditionalFormatting sqref="C117">
    <cfRule type="cellIs" dxfId="0" priority="215" stopIfTrue="1" operator="equal">
      <formula>0</formula>
    </cfRule>
  </conditionalFormatting>
  <conditionalFormatting sqref="F117">
    <cfRule type="cellIs" dxfId="0" priority="193" stopIfTrue="1" operator="equal">
      <formula>0</formula>
    </cfRule>
  </conditionalFormatting>
  <conditionalFormatting sqref="J117">
    <cfRule type="cellIs" dxfId="0" priority="805" stopIfTrue="1" operator="equal">
      <formula>0</formula>
    </cfRule>
  </conditionalFormatting>
  <conditionalFormatting sqref="C118">
    <cfRule type="cellIs" dxfId="0" priority="213" stopIfTrue="1" operator="equal">
      <formula>0</formula>
    </cfRule>
  </conditionalFormatting>
  <conditionalFormatting sqref="J118">
    <cfRule type="cellIs" dxfId="0" priority="803" stopIfTrue="1" operator="equal">
      <formula>0</formula>
    </cfRule>
  </conditionalFormatting>
  <conditionalFormatting sqref="J119">
    <cfRule type="cellIs" dxfId="0" priority="801" stopIfTrue="1" operator="equal">
      <formula>0</formula>
    </cfRule>
  </conditionalFormatting>
  <conditionalFormatting sqref="K119:IR119">
    <cfRule type="cellIs" dxfId="0" priority="1001" stopIfTrue="1" operator="equal">
      <formula>0</formula>
    </cfRule>
  </conditionalFormatting>
  <conditionalFormatting sqref="C120">
    <cfRule type="cellIs" dxfId="0" priority="191" stopIfTrue="1" operator="equal">
      <formula>0</formula>
    </cfRule>
  </conditionalFormatting>
  <conditionalFormatting sqref="H120">
    <cfRule type="cellIs" dxfId="0" priority="190" stopIfTrue="1" operator="equal">
      <formula>0</formula>
    </cfRule>
  </conditionalFormatting>
  <conditionalFormatting sqref="J120">
    <cfRule type="cellIs" dxfId="0" priority="782" stopIfTrue="1" operator="equal">
      <formula>0</formula>
    </cfRule>
  </conditionalFormatting>
  <conditionalFormatting sqref="C121">
    <cfRule type="cellIs" dxfId="0" priority="204" stopIfTrue="1" operator="equal">
      <formula>0</formula>
    </cfRule>
  </conditionalFormatting>
  <conditionalFormatting sqref="H121">
    <cfRule type="cellIs" dxfId="0" priority="203" stopIfTrue="1" operator="equal">
      <formula>0</formula>
    </cfRule>
  </conditionalFormatting>
  <conditionalFormatting sqref="J121">
    <cfRule type="cellIs" dxfId="0" priority="794" stopIfTrue="1" operator="equal">
      <formula>0</formula>
    </cfRule>
  </conditionalFormatting>
  <conditionalFormatting sqref="K121:IR121">
    <cfRule type="cellIs" dxfId="0" priority="917" stopIfTrue="1" operator="equal">
      <formula>0</formula>
    </cfRule>
  </conditionalFormatting>
  <conditionalFormatting sqref="C122">
    <cfRule type="cellIs" dxfId="0" priority="207" stopIfTrue="1" operator="equal">
      <formula>0</formula>
    </cfRule>
  </conditionalFormatting>
  <conditionalFormatting sqref="H122">
    <cfRule type="cellIs" dxfId="0" priority="206" stopIfTrue="1" operator="equal">
      <formula>0</formula>
    </cfRule>
  </conditionalFormatting>
  <conditionalFormatting sqref="J122">
    <cfRule type="cellIs" dxfId="0" priority="797" stopIfTrue="1" operator="equal">
      <formula>0</formula>
    </cfRule>
  </conditionalFormatting>
  <conditionalFormatting sqref="C123">
    <cfRule type="cellIs" dxfId="0" priority="209" stopIfTrue="1" operator="equal">
      <formula>0</formula>
    </cfRule>
  </conditionalFormatting>
  <conditionalFormatting sqref="J123">
    <cfRule type="cellIs" dxfId="0" priority="799" stopIfTrue="1" operator="equal">
      <formula>0</formula>
    </cfRule>
  </conditionalFormatting>
  <conditionalFormatting sqref="K123:IR123">
    <cfRule type="cellIs" dxfId="0" priority="1102" stopIfTrue="1" operator="equal">
      <formula>0</formula>
    </cfRule>
  </conditionalFormatting>
  <conditionalFormatting sqref="A124">
    <cfRule type="cellIs" dxfId="0" priority="171" stopIfTrue="1" operator="equal">
      <formula>0</formula>
    </cfRule>
  </conditionalFormatting>
  <conditionalFormatting sqref="C125">
    <cfRule type="cellIs" dxfId="0" priority="169" stopIfTrue="1" operator="equal">
      <formula>0</formula>
    </cfRule>
  </conditionalFormatting>
  <conditionalFormatting sqref="I125">
    <cfRule type="cellIs" dxfId="0" priority="168" stopIfTrue="1" operator="equal">
      <formula>0</formula>
    </cfRule>
  </conditionalFormatting>
  <conditionalFormatting sqref="I126">
    <cfRule type="cellIs" dxfId="0" priority="165" stopIfTrue="1" operator="equal">
      <formula>0</formula>
    </cfRule>
  </conditionalFormatting>
  <conditionalFormatting sqref="C127">
    <cfRule type="cellIs" dxfId="0" priority="166" stopIfTrue="1" operator="equal">
      <formula>0</formula>
    </cfRule>
  </conditionalFormatting>
  <conditionalFormatting sqref="I127">
    <cfRule type="cellIs" dxfId="0" priority="164" stopIfTrue="1" operator="equal">
      <formula>0</formula>
    </cfRule>
  </conditionalFormatting>
  <conditionalFormatting sqref="H128:I128">
    <cfRule type="cellIs" dxfId="0" priority="475" stopIfTrue="1" operator="equal">
      <formula>0</formula>
    </cfRule>
  </conditionalFormatting>
  <conditionalFormatting sqref="J128:IR128">
    <cfRule type="cellIs" dxfId="0" priority="1099" stopIfTrue="1" operator="equal">
      <formula>0</formula>
    </cfRule>
  </conditionalFormatting>
  <conditionalFormatting sqref="J129:IR129">
    <cfRule type="cellIs" dxfId="0" priority="1098" stopIfTrue="1" operator="equal">
      <formula>0</formula>
    </cfRule>
  </conditionalFormatting>
  <conditionalFormatting sqref="H133:I133">
    <cfRule type="cellIs" dxfId="0" priority="474" stopIfTrue="1" operator="equal">
      <formula>0</formula>
    </cfRule>
  </conditionalFormatting>
  <conditionalFormatting sqref="J133:IR133">
    <cfRule type="cellIs" dxfId="0" priority="1097" stopIfTrue="1" operator="equal">
      <formula>0</formula>
    </cfRule>
  </conditionalFormatting>
  <conditionalFormatting sqref="J134:IR134">
    <cfRule type="cellIs" dxfId="0" priority="1096" stopIfTrue="1" operator="equal">
      <formula>0</formula>
    </cfRule>
  </conditionalFormatting>
  <conditionalFormatting sqref="C135">
    <cfRule type="cellIs" dxfId="0" priority="472" stopIfTrue="1" operator="equal">
      <formula>0</formula>
    </cfRule>
  </conditionalFormatting>
  <conditionalFormatting sqref="A136">
    <cfRule type="cellIs" dxfId="0" priority="160" stopIfTrue="1" operator="equal">
      <formula>0</formula>
    </cfRule>
  </conditionalFormatting>
  <conditionalFormatting sqref="C136">
    <cfRule type="cellIs" dxfId="0" priority="158" stopIfTrue="1" operator="equal">
      <formula>0</formula>
    </cfRule>
  </conditionalFormatting>
  <conditionalFormatting sqref="C139">
    <cfRule type="cellIs" dxfId="0" priority="148" stopIfTrue="1" operator="equal">
      <formula>0</formula>
    </cfRule>
  </conditionalFormatting>
  <conditionalFormatting sqref="J139:IR139">
    <cfRule type="cellIs" dxfId="0" priority="1093" stopIfTrue="1" operator="equal">
      <formula>0</formula>
    </cfRule>
  </conditionalFormatting>
  <conditionalFormatting sqref="C140">
    <cfRule type="cellIs" dxfId="0" priority="146" stopIfTrue="1" operator="equal">
      <formula>0</formula>
    </cfRule>
  </conditionalFormatting>
  <conditionalFormatting sqref="J140:IR140">
    <cfRule type="cellIs" dxfId="0" priority="1092" stopIfTrue="1" operator="equal">
      <formula>0</formula>
    </cfRule>
  </conditionalFormatting>
  <conditionalFormatting sqref="A141">
    <cfRule type="cellIs" dxfId="0" priority="144" stopIfTrue="1" operator="equal">
      <formula>0</formula>
    </cfRule>
  </conditionalFormatting>
  <conditionalFormatting sqref="C141">
    <cfRule type="cellIs" dxfId="0" priority="136" stopIfTrue="1" operator="equal">
      <formula>0</formula>
    </cfRule>
  </conditionalFormatting>
  <conditionalFormatting sqref="G141">
    <cfRule type="cellIs" dxfId="0" priority="137" stopIfTrue="1" operator="equal">
      <formula>0</formula>
    </cfRule>
  </conditionalFormatting>
  <conditionalFormatting sqref="I141">
    <cfRule type="cellIs" dxfId="0" priority="135" stopIfTrue="1" operator="equal">
      <formula>0</formula>
    </cfRule>
  </conditionalFormatting>
  <conditionalFormatting sqref="C142">
    <cfRule type="cellIs" dxfId="0" priority="142" stopIfTrue="1" operator="equal">
      <formula>0</formula>
    </cfRule>
  </conditionalFormatting>
  <conditionalFormatting sqref="I142">
    <cfRule type="cellIs" dxfId="0" priority="139" stopIfTrue="1" operator="equal">
      <formula>0</formula>
    </cfRule>
  </conditionalFormatting>
  <conditionalFormatting sqref="J142">
    <cfRule type="cellIs" dxfId="0" priority="678" stopIfTrue="1" operator="equal">
      <formula>0</formula>
    </cfRule>
  </conditionalFormatting>
  <conditionalFormatting sqref="C143">
    <cfRule type="cellIs" dxfId="0" priority="140" stopIfTrue="1" operator="equal">
      <formula>0</formula>
    </cfRule>
  </conditionalFormatting>
  <conditionalFormatting sqref="J143">
    <cfRule type="cellIs" dxfId="0" priority="679" stopIfTrue="1" operator="equal">
      <formula>0</formula>
    </cfRule>
  </conditionalFormatting>
  <conditionalFormatting sqref="C144">
    <cfRule type="cellIs" dxfId="0" priority="127" stopIfTrue="1" operator="equal">
      <formula>0</formula>
    </cfRule>
  </conditionalFormatting>
  <conditionalFormatting sqref="I144">
    <cfRule type="cellIs" dxfId="0" priority="112" stopIfTrue="1" operator="equal">
      <formula>0</formula>
    </cfRule>
  </conditionalFormatting>
  <conditionalFormatting sqref="J144">
    <cfRule type="cellIs" dxfId="0" priority="708" stopIfTrue="1" operator="equal">
      <formula>0</formula>
    </cfRule>
  </conditionalFormatting>
  <conditionalFormatting sqref="K144:IR144">
    <cfRule type="cellIs" dxfId="0" priority="924" stopIfTrue="1" operator="equal">
      <formula>0</formula>
    </cfRule>
  </conditionalFormatting>
  <conditionalFormatting sqref="C145">
    <cfRule type="cellIs" dxfId="0" priority="133" stopIfTrue="1" operator="equal">
      <formula>0</formula>
    </cfRule>
  </conditionalFormatting>
  <conditionalFormatting sqref="H145">
    <cfRule type="cellIs" dxfId="0" priority="132" stopIfTrue="1" operator="equal">
      <formula>0</formula>
    </cfRule>
  </conditionalFormatting>
  <conditionalFormatting sqref="I145">
    <cfRule type="cellIs" dxfId="0" priority="113" stopIfTrue="1" operator="equal">
      <formula>0</formula>
    </cfRule>
  </conditionalFormatting>
  <conditionalFormatting sqref="J145">
    <cfRule type="cellIs" dxfId="0" priority="718" stopIfTrue="1" operator="equal">
      <formula>0</formula>
    </cfRule>
  </conditionalFormatting>
  <conditionalFormatting sqref="K145:IR145">
    <cfRule type="cellIs" dxfId="0" priority="1008" stopIfTrue="1" operator="equal">
      <formula>0</formula>
    </cfRule>
  </conditionalFormatting>
  <conditionalFormatting sqref="C146">
    <cfRule type="cellIs" dxfId="0" priority="122" stopIfTrue="1" operator="equal">
      <formula>0</formula>
    </cfRule>
  </conditionalFormatting>
  <conditionalFormatting sqref="H146">
    <cfRule type="cellIs" dxfId="0" priority="121" stopIfTrue="1" operator="equal">
      <formula>0</formula>
    </cfRule>
  </conditionalFormatting>
  <conditionalFormatting sqref="I146">
    <cfRule type="cellIs" dxfId="0" priority="114" stopIfTrue="1" operator="equal">
      <formula>0</formula>
    </cfRule>
  </conditionalFormatting>
  <conditionalFormatting sqref="C147">
    <cfRule type="cellIs" dxfId="0" priority="117" stopIfTrue="1" operator="equal">
      <formula>0</formula>
    </cfRule>
  </conditionalFormatting>
  <conditionalFormatting sqref="H147">
    <cfRule type="cellIs" dxfId="0" priority="116" stopIfTrue="1" operator="equal">
      <formula>0</formula>
    </cfRule>
  </conditionalFormatting>
  <conditionalFormatting sqref="I147">
    <cfRule type="cellIs" dxfId="0" priority="115" stopIfTrue="1" operator="equal">
      <formula>0</formula>
    </cfRule>
  </conditionalFormatting>
  <conditionalFormatting sqref="C148">
    <cfRule type="cellIs" dxfId="0" priority="8" stopIfTrue="1" operator="equal">
      <formula>0</formula>
    </cfRule>
  </conditionalFormatting>
  <conditionalFormatting sqref="E148">
    <cfRule type="cellIs" dxfId="0" priority="7" stopIfTrue="1" operator="equal">
      <formula>0</formula>
    </cfRule>
  </conditionalFormatting>
  <conditionalFormatting sqref="G148">
    <cfRule type="cellIs" dxfId="0" priority="11" stopIfTrue="1" operator="equal">
      <formula>0</formula>
    </cfRule>
  </conditionalFormatting>
  <conditionalFormatting sqref="H148">
    <cfRule type="cellIs" dxfId="0" priority="10" stopIfTrue="1" operator="equal">
      <formula>0</formula>
    </cfRule>
  </conditionalFormatting>
  <conditionalFormatting sqref="I148">
    <cfRule type="cellIs" dxfId="0" priority="9" stopIfTrue="1" operator="equal">
      <formula>0</formula>
    </cfRule>
  </conditionalFormatting>
  <conditionalFormatting sqref="J148">
    <cfRule type="cellIs" dxfId="0" priority="529" stopIfTrue="1" operator="equal">
      <formula>0</formula>
    </cfRule>
  </conditionalFormatting>
  <conditionalFormatting sqref="K148:IR148">
    <cfRule type="cellIs" dxfId="0" priority="530" stopIfTrue="1" operator="equal">
      <formula>0</formula>
    </cfRule>
  </conditionalFormatting>
  <conditionalFormatting sqref="C149">
    <cfRule type="cellIs" dxfId="0" priority="18" stopIfTrue="1" operator="equal">
      <formula>0</formula>
    </cfRule>
  </conditionalFormatting>
  <conditionalFormatting sqref="E149">
    <cfRule type="cellIs" dxfId="0" priority="16" stopIfTrue="1" operator="equal">
      <formula>0</formula>
    </cfRule>
  </conditionalFormatting>
  <conditionalFormatting sqref="H149">
    <cfRule type="cellIs" dxfId="0" priority="14" stopIfTrue="1" operator="equal">
      <formula>0</formula>
    </cfRule>
  </conditionalFormatting>
  <conditionalFormatting sqref="C150">
    <cfRule type="cellIs" dxfId="0" priority="17" stopIfTrue="1" operator="equal">
      <formula>0</formula>
    </cfRule>
  </conditionalFormatting>
  <conditionalFormatting sqref="E150">
    <cfRule type="cellIs" dxfId="0" priority="15" stopIfTrue="1" operator="equal">
      <formula>0</formula>
    </cfRule>
  </conditionalFormatting>
  <conditionalFormatting sqref="H150">
    <cfRule type="cellIs" dxfId="0" priority="13" stopIfTrue="1" operator="equal">
      <formula>0</formula>
    </cfRule>
  </conditionalFormatting>
  <conditionalFormatting sqref="C151">
    <cfRule type="cellIs" dxfId="0" priority="34" stopIfTrue="1" operator="equal">
      <formula>0</formula>
    </cfRule>
  </conditionalFormatting>
  <conditionalFormatting sqref="G151">
    <cfRule type="cellIs" dxfId="0" priority="32" stopIfTrue="1" operator="equal">
      <formula>0</formula>
    </cfRule>
  </conditionalFormatting>
  <conditionalFormatting sqref="H151">
    <cfRule type="cellIs" dxfId="0" priority="33" stopIfTrue="1" operator="equal">
      <formula>0</formula>
    </cfRule>
  </conditionalFormatting>
  <conditionalFormatting sqref="C152">
    <cfRule type="cellIs" dxfId="0" priority="22" stopIfTrue="1" operator="equal">
      <formula>0</formula>
    </cfRule>
  </conditionalFormatting>
  <conditionalFormatting sqref="G152">
    <cfRule type="cellIs" dxfId="0" priority="20" stopIfTrue="1" operator="equal">
      <formula>0</formula>
    </cfRule>
  </conditionalFormatting>
  <conditionalFormatting sqref="H152">
    <cfRule type="cellIs" dxfId="0" priority="21" stopIfTrue="1" operator="equal">
      <formula>0</formula>
    </cfRule>
  </conditionalFormatting>
  <conditionalFormatting sqref="J152:IR152">
    <cfRule type="cellIs" dxfId="0" priority="547" stopIfTrue="1" operator="equal">
      <formula>0</formula>
    </cfRule>
  </conditionalFormatting>
  <conditionalFormatting sqref="C153">
    <cfRule type="cellIs" dxfId="0" priority="31" stopIfTrue="1" operator="equal">
      <formula>0</formula>
    </cfRule>
  </conditionalFormatting>
  <conditionalFormatting sqref="G153">
    <cfRule type="cellIs" dxfId="0" priority="27" stopIfTrue="1" operator="equal">
      <formula>0</formula>
    </cfRule>
  </conditionalFormatting>
  <conditionalFormatting sqref="H153">
    <cfRule type="cellIs" dxfId="0" priority="28" stopIfTrue="1" operator="equal">
      <formula>0</formula>
    </cfRule>
  </conditionalFormatting>
  <conditionalFormatting sqref="J153">
    <cfRule type="cellIs" dxfId="0" priority="553" stopIfTrue="1" operator="equal">
      <formula>0</formula>
    </cfRule>
  </conditionalFormatting>
  <conditionalFormatting sqref="C154">
    <cfRule type="cellIs" dxfId="0" priority="30" stopIfTrue="1" operator="equal">
      <formula>0</formula>
    </cfRule>
  </conditionalFormatting>
  <conditionalFormatting sqref="G154">
    <cfRule type="cellIs" dxfId="0" priority="24" stopIfTrue="1" operator="equal">
      <formula>0</formula>
    </cfRule>
  </conditionalFormatting>
  <conditionalFormatting sqref="H154">
    <cfRule type="cellIs" dxfId="0" priority="25" stopIfTrue="1" operator="equal">
      <formula>0</formula>
    </cfRule>
  </conditionalFormatting>
  <conditionalFormatting sqref="J154">
    <cfRule type="cellIs" dxfId="0" priority="543" stopIfTrue="1" operator="equal">
      <formula>0</formula>
    </cfRule>
  </conditionalFormatting>
  <conditionalFormatting sqref="C155">
    <cfRule type="cellIs" dxfId="0" priority="119" stopIfTrue="1" operator="equal">
      <formula>0</formula>
    </cfRule>
  </conditionalFormatting>
  <conditionalFormatting sqref="I155">
    <cfRule type="cellIs" dxfId="0" priority="111" stopIfTrue="1" operator="equal">
      <formula>0</formula>
    </cfRule>
  </conditionalFormatting>
  <conditionalFormatting sqref="J155">
    <cfRule type="cellIs" dxfId="0" priority="700" stopIfTrue="1" operator="equal">
      <formula>0</formula>
    </cfRule>
  </conditionalFormatting>
  <conditionalFormatting sqref="C156">
    <cfRule type="cellIs" dxfId="0" priority="130" stopIfTrue="1" operator="equal">
      <formula>0</formula>
    </cfRule>
  </conditionalFormatting>
  <conditionalFormatting sqref="H156">
    <cfRule type="cellIs" dxfId="0" priority="129" stopIfTrue="1" operator="equal">
      <formula>0</formula>
    </cfRule>
  </conditionalFormatting>
  <conditionalFormatting sqref="I156">
    <cfRule type="cellIs" dxfId="0" priority="110" stopIfTrue="1" operator="equal">
      <formula>0</formula>
    </cfRule>
  </conditionalFormatting>
  <conditionalFormatting sqref="J156">
    <cfRule type="cellIs" dxfId="0" priority="711" stopIfTrue="1" operator="equal">
      <formula>0</formula>
    </cfRule>
  </conditionalFormatting>
  <conditionalFormatting sqref="C157">
    <cfRule type="cellIs" dxfId="0" priority="125" stopIfTrue="1" operator="equal">
      <formula>0</formula>
    </cfRule>
  </conditionalFormatting>
  <conditionalFormatting sqref="H157">
    <cfRule type="cellIs" dxfId="0" priority="124" stopIfTrue="1" operator="equal">
      <formula>0</formula>
    </cfRule>
  </conditionalFormatting>
  <conditionalFormatting sqref="I157">
    <cfRule type="cellIs" dxfId="0" priority="109" stopIfTrue="1" operator="equal">
      <formula>0</formula>
    </cfRule>
  </conditionalFormatting>
  <conditionalFormatting sqref="C158">
    <cfRule type="cellIs" dxfId="0" priority="107" stopIfTrue="1" operator="equal">
      <formula>0</formula>
    </cfRule>
  </conditionalFormatting>
  <conditionalFormatting sqref="H158">
    <cfRule type="cellIs" dxfId="0" priority="106" stopIfTrue="1" operator="equal">
      <formula>0</formula>
    </cfRule>
  </conditionalFormatting>
  <conditionalFormatting sqref="I158">
    <cfRule type="cellIs" dxfId="0" priority="105" stopIfTrue="1" operator="equal">
      <formula>0</formula>
    </cfRule>
  </conditionalFormatting>
  <conditionalFormatting sqref="C159">
    <cfRule type="cellIs" dxfId="0" priority="4" stopIfTrue="1" operator="equal">
      <formula>0</formula>
    </cfRule>
  </conditionalFormatting>
  <conditionalFormatting sqref="E159">
    <cfRule type="cellIs" dxfId="0" priority="3" stopIfTrue="1" operator="equal">
      <formula>0</formula>
    </cfRule>
  </conditionalFormatting>
  <conditionalFormatting sqref="G159">
    <cfRule type="cellIs" dxfId="0" priority="5" stopIfTrue="1" operator="equal">
      <formula>0</formula>
    </cfRule>
  </conditionalFormatting>
  <conditionalFormatting sqref="H159">
    <cfRule type="cellIs" dxfId="0" priority="2" stopIfTrue="1" operator="equal">
      <formula>0</formula>
    </cfRule>
  </conditionalFormatting>
  <conditionalFormatting sqref="I159">
    <cfRule type="cellIs" dxfId="0" priority="1" stopIfTrue="1" operator="equal">
      <formula>0</formula>
    </cfRule>
  </conditionalFormatting>
  <conditionalFormatting sqref="J159">
    <cfRule type="cellIs" dxfId="0" priority="522" stopIfTrue="1" operator="equal">
      <formula>0</formula>
    </cfRule>
  </conditionalFormatting>
  <conditionalFormatting sqref="K159:IR159">
    <cfRule type="cellIs" dxfId="0" priority="523" stopIfTrue="1" operator="equal">
      <formula>0</formula>
    </cfRule>
  </conditionalFormatting>
  <conditionalFormatting sqref="C160">
    <cfRule type="cellIs" dxfId="0" priority="103" stopIfTrue="1" operator="equal">
      <formula>0</formula>
    </cfRule>
  </conditionalFormatting>
  <conditionalFormatting sqref="E160">
    <cfRule type="cellIs" dxfId="0" priority="104" stopIfTrue="1" operator="equal">
      <formula>0</formula>
    </cfRule>
  </conditionalFormatting>
  <conditionalFormatting sqref="G160">
    <cfRule type="cellIs" dxfId="0" priority="101" stopIfTrue="1" operator="equal">
      <formula>0</formula>
    </cfRule>
  </conditionalFormatting>
  <conditionalFormatting sqref="H160">
    <cfRule type="cellIs" dxfId="0" priority="102" stopIfTrue="1" operator="equal">
      <formula>0</formula>
    </cfRule>
  </conditionalFormatting>
  <conditionalFormatting sqref="I160">
    <cfRule type="cellIs" dxfId="0" priority="6" stopIfTrue="1" operator="equal">
      <formula>0</formula>
    </cfRule>
  </conditionalFormatting>
  <conditionalFormatting sqref="C161">
    <cfRule type="cellIs" dxfId="0" priority="393" stopIfTrue="1" operator="equal">
      <formula>0</formula>
    </cfRule>
  </conditionalFormatting>
  <conditionalFormatting sqref="E161:I161">
    <cfRule type="cellIs" dxfId="0" priority="394" stopIfTrue="1" operator="equal">
      <formula>0</formula>
    </cfRule>
  </conditionalFormatting>
  <conditionalFormatting sqref="J161:IR161">
    <cfRule type="cellIs" dxfId="0" priority="1006" stopIfTrue="1" operator="equal">
      <formula>0</formula>
    </cfRule>
  </conditionalFormatting>
  <conditionalFormatting sqref="C162">
    <cfRule type="cellIs" dxfId="0" priority="470" stopIfTrue="1" operator="equal">
      <formula>0</formula>
    </cfRule>
  </conditionalFormatting>
  <conditionalFormatting sqref="H162">
    <cfRule type="cellIs" dxfId="0" priority="469" stopIfTrue="1" operator="equal">
      <formula>0</formula>
    </cfRule>
  </conditionalFormatting>
  <conditionalFormatting sqref="J162:IR162">
    <cfRule type="cellIs" dxfId="0" priority="1090" stopIfTrue="1" operator="equal">
      <formula>0</formula>
    </cfRule>
  </conditionalFormatting>
  <conditionalFormatting sqref="C163">
    <cfRule type="cellIs" dxfId="0" priority="466" stopIfTrue="1" operator="equal">
      <formula>0</formula>
    </cfRule>
  </conditionalFormatting>
  <conditionalFormatting sqref="H163">
    <cfRule type="cellIs" dxfId="0" priority="465" stopIfTrue="1" operator="equal">
      <formula>0</formula>
    </cfRule>
  </conditionalFormatting>
  <conditionalFormatting sqref="J163:IR163">
    <cfRule type="cellIs" dxfId="0" priority="1086" stopIfTrue="1" operator="equal">
      <formula>0</formula>
    </cfRule>
  </conditionalFormatting>
  <conditionalFormatting sqref="C164">
    <cfRule type="cellIs" dxfId="0" priority="325" stopIfTrue="1" operator="equal">
      <formula>0</formula>
    </cfRule>
  </conditionalFormatting>
  <conditionalFormatting sqref="I164">
    <cfRule type="cellIs" dxfId="0" priority="323" stopIfTrue="1" operator="equal">
      <formula>0</formula>
    </cfRule>
  </conditionalFormatting>
  <conditionalFormatting sqref="C165">
    <cfRule type="cellIs" dxfId="0" priority="324" stopIfTrue="1" operator="equal">
      <formula>0</formula>
    </cfRule>
  </conditionalFormatting>
  <conditionalFormatting sqref="I165">
    <cfRule type="cellIs" dxfId="0" priority="322" stopIfTrue="1" operator="equal">
      <formula>0</formula>
    </cfRule>
  </conditionalFormatting>
  <conditionalFormatting sqref="C170">
    <cfRule type="cellIs" dxfId="0" priority="100" stopIfTrue="1" operator="equal">
      <formula>0</formula>
    </cfRule>
  </conditionalFormatting>
  <conditionalFormatting sqref="J171:IR171">
    <cfRule type="cellIs" dxfId="0" priority="1083" stopIfTrue="1" operator="equal">
      <formula>0</formula>
    </cfRule>
  </conditionalFormatting>
  <conditionalFormatting sqref="C172">
    <cfRule type="cellIs" dxfId="0" priority="463" stopIfTrue="1" operator="equal">
      <formula>0</formula>
    </cfRule>
  </conditionalFormatting>
  <conditionalFormatting sqref="E172">
    <cfRule type="cellIs" dxfId="0" priority="462" stopIfTrue="1" operator="equal">
      <formula>0</formula>
    </cfRule>
  </conditionalFormatting>
  <conditionalFormatting sqref="H172">
    <cfRule type="cellIs" dxfId="0" priority="464" stopIfTrue="1" operator="equal">
      <formula>0</formula>
    </cfRule>
  </conditionalFormatting>
  <conditionalFormatting sqref="C173">
    <cfRule type="cellIs" dxfId="0" priority="460" stopIfTrue="1" operator="equal">
      <formula>0</formula>
    </cfRule>
  </conditionalFormatting>
  <conditionalFormatting sqref="H173">
    <cfRule type="cellIs" dxfId="0" priority="458" stopIfTrue="1" operator="equal">
      <formula>0</formula>
    </cfRule>
  </conditionalFormatting>
  <conditionalFormatting sqref="I173">
    <cfRule type="cellIs" dxfId="0" priority="459" stopIfTrue="1" operator="equal">
      <formula>0</formula>
    </cfRule>
  </conditionalFormatting>
  <conditionalFormatting sqref="J173:IR173">
    <cfRule type="cellIs" dxfId="0" priority="1079" stopIfTrue="1" operator="equal">
      <formula>0</formula>
    </cfRule>
  </conditionalFormatting>
  <conditionalFormatting sqref="A174">
    <cfRule type="cellIs" dxfId="0" priority="457" stopIfTrue="1" operator="equal">
      <formula>0</formula>
    </cfRule>
  </conditionalFormatting>
  <conditionalFormatting sqref="C174">
    <cfRule type="cellIs" dxfId="0" priority="456" stopIfTrue="1" operator="equal">
      <formula>0</formula>
    </cfRule>
  </conditionalFormatting>
  <conditionalFormatting sqref="E174:F174">
    <cfRule type="cellIs" dxfId="0" priority="455" stopIfTrue="1" operator="equal">
      <formula>0</formula>
    </cfRule>
  </conditionalFormatting>
  <conditionalFormatting sqref="G174">
    <cfRule type="cellIs" dxfId="0" priority="454" stopIfTrue="1" operator="equal">
      <formula>0</formula>
    </cfRule>
  </conditionalFormatting>
  <conditionalFormatting sqref="H174">
    <cfRule type="cellIs" dxfId="0" priority="452" stopIfTrue="1" operator="equal">
      <formula>0</formula>
    </cfRule>
  </conditionalFormatting>
  <conditionalFormatting sqref="I174">
    <cfRule type="cellIs" dxfId="0" priority="453" stopIfTrue="1" operator="equal">
      <formula>0</formula>
    </cfRule>
  </conditionalFormatting>
  <conditionalFormatting sqref="J174:IR174">
    <cfRule type="cellIs" dxfId="0" priority="1074" stopIfTrue="1" operator="equal">
      <formula>0</formula>
    </cfRule>
  </conditionalFormatting>
  <conditionalFormatting sqref="H175:I175">
    <cfRule type="cellIs" dxfId="0" priority="451" stopIfTrue="1" operator="equal">
      <formula>0</formula>
    </cfRule>
  </conditionalFormatting>
  <conditionalFormatting sqref="J175:IR175">
    <cfRule type="cellIs" dxfId="0" priority="1068" stopIfTrue="1" operator="equal">
      <formula>0</formula>
    </cfRule>
  </conditionalFormatting>
  <conditionalFormatting sqref="J176:IR176">
    <cfRule type="cellIs" dxfId="0" priority="1067" stopIfTrue="1" operator="equal">
      <formula>0</formula>
    </cfRule>
  </conditionalFormatting>
  <conditionalFormatting sqref="C177">
    <cfRule type="cellIs" dxfId="0" priority="450" stopIfTrue="1" operator="equal">
      <formula>0</formula>
    </cfRule>
  </conditionalFormatting>
  <conditionalFormatting sqref="E177">
    <cfRule type="cellIs" dxfId="0" priority="449" stopIfTrue="1" operator="equal">
      <formula>0</formula>
    </cfRule>
  </conditionalFormatting>
  <conditionalFormatting sqref="C178">
    <cfRule type="cellIs" dxfId="0" priority="448" stopIfTrue="1" operator="equal">
      <formula>0</formula>
    </cfRule>
  </conditionalFormatting>
  <conditionalFormatting sqref="E178">
    <cfRule type="cellIs" dxfId="0" priority="447" stopIfTrue="1" operator="equal">
      <formula>0</formula>
    </cfRule>
  </conditionalFormatting>
  <conditionalFormatting sqref="C179">
    <cfRule type="cellIs" dxfId="0" priority="444" stopIfTrue="1" operator="equal">
      <formula>0</formula>
    </cfRule>
  </conditionalFormatting>
  <conditionalFormatting sqref="C180">
    <cfRule type="cellIs" dxfId="0" priority="443" stopIfTrue="1" operator="equal">
      <formula>0</formula>
    </cfRule>
  </conditionalFormatting>
  <conditionalFormatting sqref="I180">
    <cfRule type="cellIs" dxfId="0" priority="445" stopIfTrue="1" operator="equal">
      <formula>0</formula>
    </cfRule>
  </conditionalFormatting>
  <conditionalFormatting sqref="C181">
    <cfRule type="cellIs" dxfId="0" priority="442" stopIfTrue="1" operator="equal">
      <formula>0</formula>
    </cfRule>
  </conditionalFormatting>
  <conditionalFormatting sqref="I181">
    <cfRule type="cellIs" dxfId="0" priority="328" stopIfTrue="1" operator="equal">
      <formula>0</formula>
    </cfRule>
  </conditionalFormatting>
  <conditionalFormatting sqref="C182">
    <cfRule type="cellIs" dxfId="0" priority="441" stopIfTrue="1" operator="equal">
      <formula>0</formula>
    </cfRule>
  </conditionalFormatting>
  <conditionalFormatting sqref="C183">
    <cfRule type="cellIs" dxfId="0" priority="438" stopIfTrue="1" operator="equal">
      <formula>0</formula>
    </cfRule>
  </conditionalFormatting>
  <conditionalFormatting sqref="I183">
    <cfRule type="cellIs" dxfId="0" priority="439" stopIfTrue="1" operator="equal">
      <formula>0</formula>
    </cfRule>
  </conditionalFormatting>
  <conditionalFormatting sqref="C184">
    <cfRule type="cellIs" dxfId="0" priority="98" stopIfTrue="1" operator="equal">
      <formula>0</formula>
    </cfRule>
  </conditionalFormatting>
  <conditionalFormatting sqref="E184">
    <cfRule type="cellIs" dxfId="0" priority="97" stopIfTrue="1" operator="equal">
      <formula>0</formula>
    </cfRule>
  </conditionalFormatting>
  <conditionalFormatting sqref="I184">
    <cfRule type="cellIs" dxfId="0" priority="99" stopIfTrue="1" operator="equal">
      <formula>0</formula>
    </cfRule>
  </conditionalFormatting>
  <conditionalFormatting sqref="C185">
    <cfRule type="cellIs" dxfId="0" priority="437" stopIfTrue="1" operator="equal">
      <formula>0</formula>
    </cfRule>
  </conditionalFormatting>
  <conditionalFormatting sqref="E185">
    <cfRule type="cellIs" dxfId="0" priority="436" stopIfTrue="1" operator="equal">
      <formula>0</formula>
    </cfRule>
  </conditionalFormatting>
  <conditionalFormatting sqref="C186">
    <cfRule type="cellIs" dxfId="0" priority="353" stopIfTrue="1" operator="equal">
      <formula>0</formula>
    </cfRule>
  </conditionalFormatting>
  <conditionalFormatting sqref="E186">
    <cfRule type="cellIs" dxfId="0" priority="352" stopIfTrue="1" operator="equal">
      <formula>0</formula>
    </cfRule>
  </conditionalFormatting>
  <conditionalFormatting sqref="C187">
    <cfRule type="cellIs" dxfId="0" priority="156" stopIfTrue="1" operator="equal">
      <formula>0</formula>
    </cfRule>
  </conditionalFormatting>
  <conditionalFormatting sqref="E187">
    <cfRule type="cellIs" dxfId="0" priority="155" stopIfTrue="1" operator="equal">
      <formula>0</formula>
    </cfRule>
  </conditionalFormatting>
  <conditionalFormatting sqref="H187">
    <cfRule type="cellIs" dxfId="0" priority="157" stopIfTrue="1" operator="equal">
      <formula>0</formula>
    </cfRule>
  </conditionalFormatting>
  <conditionalFormatting sqref="C188">
    <cfRule type="cellIs" dxfId="0" priority="330" stopIfTrue="1" operator="equal">
      <formula>0</formula>
    </cfRule>
  </conditionalFormatting>
  <conditionalFormatting sqref="E188">
    <cfRule type="cellIs" dxfId="0" priority="329" stopIfTrue="1" operator="equal">
      <formula>0</formula>
    </cfRule>
  </conditionalFormatting>
  <conditionalFormatting sqref="H188">
    <cfRule type="cellIs" dxfId="0" priority="331" stopIfTrue="1" operator="equal">
      <formula>0</formula>
    </cfRule>
  </conditionalFormatting>
  <conditionalFormatting sqref="C189">
    <cfRule type="cellIs" dxfId="0" priority="432" stopIfTrue="1" operator="equal">
      <formula>0</formula>
    </cfRule>
  </conditionalFormatting>
  <conditionalFormatting sqref="I189">
    <cfRule type="cellIs" dxfId="0" priority="433" stopIfTrue="1" operator="equal">
      <formula>0</formula>
    </cfRule>
  </conditionalFormatting>
  <conditionalFormatting sqref="C190">
    <cfRule type="cellIs" dxfId="0" priority="431" stopIfTrue="1" operator="equal">
      <formula>0</formula>
    </cfRule>
  </conditionalFormatting>
  <conditionalFormatting sqref="I190">
    <cfRule type="cellIs" dxfId="0" priority="434" stopIfTrue="1" operator="equal">
      <formula>0</formula>
    </cfRule>
  </conditionalFormatting>
  <conditionalFormatting sqref="C191">
    <cfRule type="cellIs" dxfId="0" priority="362" stopIfTrue="1" operator="equal">
      <formula>0</formula>
    </cfRule>
  </conditionalFormatting>
  <conditionalFormatting sqref="C192">
    <cfRule type="cellIs" dxfId="0" priority="361" stopIfTrue="1" operator="equal">
      <formula>0</formula>
    </cfRule>
  </conditionalFormatting>
  <conditionalFormatting sqref="C193">
    <cfRule type="cellIs" dxfId="0" priority="429" stopIfTrue="1" operator="equal">
      <formula>0</formula>
    </cfRule>
  </conditionalFormatting>
  <conditionalFormatting sqref="I193">
    <cfRule type="cellIs" dxfId="0" priority="430" stopIfTrue="1" operator="equal">
      <formula>0</formula>
    </cfRule>
  </conditionalFormatting>
  <conditionalFormatting sqref="H195:I195">
    <cfRule type="cellIs" dxfId="0" priority="425" stopIfTrue="1" operator="equal">
      <formula>0</formula>
    </cfRule>
  </conditionalFormatting>
  <conditionalFormatting sqref="J195:IR195">
    <cfRule type="cellIs" dxfId="0" priority="1041" stopIfTrue="1" operator="equal">
      <formula>0</formula>
    </cfRule>
  </conditionalFormatting>
  <conditionalFormatting sqref="J196:IR196">
    <cfRule type="cellIs" dxfId="0" priority="1040" stopIfTrue="1" operator="equal">
      <formula>0</formula>
    </cfRule>
  </conditionalFormatting>
  <conditionalFormatting sqref="J197:IR197">
    <cfRule type="cellIs" dxfId="0" priority="1039" stopIfTrue="1" operator="equal">
      <formula>0</formula>
    </cfRule>
  </conditionalFormatting>
  <conditionalFormatting sqref="C198">
    <cfRule type="cellIs" dxfId="0" priority="422" stopIfTrue="1" operator="equal">
      <formula>0</formula>
    </cfRule>
  </conditionalFormatting>
  <conditionalFormatting sqref="J198:IR198">
    <cfRule type="cellIs" dxfId="0" priority="1038" stopIfTrue="1" operator="equal">
      <formula>0</formula>
    </cfRule>
  </conditionalFormatting>
  <conditionalFormatting sqref="C199">
    <cfRule type="cellIs" dxfId="0" priority="420" stopIfTrue="1" operator="equal">
      <formula>0</formula>
    </cfRule>
  </conditionalFormatting>
  <conditionalFormatting sqref="E199:I199">
    <cfRule type="cellIs" dxfId="0" priority="421" stopIfTrue="1" operator="equal">
      <formula>0</formula>
    </cfRule>
  </conditionalFormatting>
  <conditionalFormatting sqref="J199:IR199">
    <cfRule type="cellIs" dxfId="0" priority="1036" stopIfTrue="1" operator="equal">
      <formula>0</formula>
    </cfRule>
  </conditionalFormatting>
  <conditionalFormatting sqref="H200:I200">
    <cfRule type="cellIs" dxfId="0" priority="419" stopIfTrue="1" operator="equal">
      <formula>0</formula>
    </cfRule>
  </conditionalFormatting>
  <conditionalFormatting sqref="J200:IR200">
    <cfRule type="cellIs" dxfId="0" priority="1034" stopIfTrue="1" operator="equal">
      <formula>0</formula>
    </cfRule>
  </conditionalFormatting>
  <conditionalFormatting sqref="J201:IR201">
    <cfRule type="cellIs" dxfId="0" priority="1033" stopIfTrue="1" operator="equal">
      <formula>0</formula>
    </cfRule>
  </conditionalFormatting>
  <conditionalFormatting sqref="J202:IR202">
    <cfRule type="cellIs" dxfId="0" priority="1032" stopIfTrue="1" operator="equal">
      <formula>0</formula>
    </cfRule>
  </conditionalFormatting>
  <conditionalFormatting sqref="B203">
    <cfRule type="cellIs" dxfId="0" priority="410" stopIfTrue="1" operator="equal">
      <formula>0</formula>
    </cfRule>
  </conditionalFormatting>
  <conditionalFormatting sqref="C203">
    <cfRule type="cellIs" dxfId="0" priority="409" stopIfTrue="1" operator="equal">
      <formula>0</formula>
    </cfRule>
  </conditionalFormatting>
  <conditionalFormatting sqref="E203">
    <cfRule type="cellIs" dxfId="0" priority="415" stopIfTrue="1" operator="equal">
      <formula>0</formula>
    </cfRule>
  </conditionalFormatting>
  <conditionalFormatting sqref="G203">
    <cfRule type="cellIs" dxfId="0" priority="416" stopIfTrue="1" operator="equal">
      <formula>0</formula>
    </cfRule>
  </conditionalFormatting>
  <conditionalFormatting sqref="I203">
    <cfRule type="cellIs" dxfId="0" priority="408" stopIfTrue="1" operator="equal">
      <formula>0</formula>
    </cfRule>
  </conditionalFormatting>
  <conditionalFormatting sqref="J203:IR203">
    <cfRule type="cellIs" dxfId="0" priority="1030" stopIfTrue="1" operator="equal">
      <formula>0</formula>
    </cfRule>
  </conditionalFormatting>
  <conditionalFormatting sqref="J204:IR204">
    <cfRule type="cellIs" dxfId="0" priority="1026" stopIfTrue="1" operator="equal">
      <formula>0</formula>
    </cfRule>
  </conditionalFormatting>
  <conditionalFormatting sqref="A28:A29">
    <cfRule type="cellIs" dxfId="0" priority="299" stopIfTrue="1" operator="equal">
      <formula>0</formula>
    </cfRule>
  </conditionalFormatting>
  <conditionalFormatting sqref="A81:A83">
    <cfRule type="cellIs" dxfId="0" priority="476" stopIfTrue="1" operator="equal">
      <formula>0</formula>
    </cfRule>
  </conditionalFormatting>
  <conditionalFormatting sqref="A104:A108">
    <cfRule type="cellIs" dxfId="0" priority="224" stopIfTrue="1" operator="equal">
      <formula>0</formula>
    </cfRule>
  </conditionalFormatting>
  <conditionalFormatting sqref="A130:A132">
    <cfRule type="cellIs" dxfId="0" priority="355" stopIfTrue="1" operator="equal">
      <formula>0</formula>
    </cfRule>
  </conditionalFormatting>
  <conditionalFormatting sqref="E179:E182">
    <cfRule type="cellIs" dxfId="0" priority="440" stopIfTrue="1" operator="equal">
      <formula>0</formula>
    </cfRule>
  </conditionalFormatting>
  <conditionalFormatting sqref="G37:G38">
    <cfRule type="cellIs" dxfId="0" priority="67" stopIfTrue="1" operator="equal">
      <formula>0</formula>
    </cfRule>
  </conditionalFormatting>
  <conditionalFormatting sqref="G72:G73">
    <cfRule type="cellIs" dxfId="0" priority="320" stopIfTrue="1" operator="equal">
      <formula>0</formula>
    </cfRule>
  </conditionalFormatting>
  <conditionalFormatting sqref="G74:G75">
    <cfRule type="cellIs" dxfId="0" priority="319" stopIfTrue="1" operator="equal">
      <formula>0</formula>
    </cfRule>
  </conditionalFormatting>
  <conditionalFormatting sqref="G124:G125">
    <cfRule type="cellIs" dxfId="0" priority="162" stopIfTrue="1" operator="equal">
      <formula>0</formula>
    </cfRule>
  </conditionalFormatting>
  <conditionalFormatting sqref="G126:G127">
    <cfRule type="cellIs" dxfId="0" priority="161" stopIfTrue="1" operator="equal">
      <formula>0</formula>
    </cfRule>
  </conditionalFormatting>
  <conditionalFormatting sqref="G149:G150">
    <cfRule type="cellIs" dxfId="0" priority="19" stopIfTrue="1" operator="equal">
      <formula>0</formula>
    </cfRule>
  </conditionalFormatting>
  <conditionalFormatting sqref="H124:H127">
    <cfRule type="cellIs" dxfId="0" priority="163" stopIfTrue="1" operator="equal">
      <formula>0</formula>
    </cfRule>
  </conditionalFormatting>
  <conditionalFormatting sqref="H139:H140">
    <cfRule type="cellIs" dxfId="0" priority="145" stopIfTrue="1" operator="equal">
      <formula>0</formula>
    </cfRule>
  </conditionalFormatting>
  <conditionalFormatting sqref="H164:H165">
    <cfRule type="cellIs" dxfId="0" priority="321" stopIfTrue="1" operator="equal">
      <formula>0</formula>
    </cfRule>
  </conditionalFormatting>
  <conditionalFormatting sqref="H189:H190">
    <cfRule type="cellIs" dxfId="0" priority="435" stopIfTrue="1" operator="equal">
      <formula>0</formula>
    </cfRule>
  </conditionalFormatting>
  <conditionalFormatting sqref="H191:H192">
    <cfRule type="cellIs" dxfId="0" priority="363" stopIfTrue="1" operator="equal">
      <formula>0</formula>
    </cfRule>
  </conditionalFormatting>
  <conditionalFormatting sqref="I37:I38">
    <cfRule type="cellIs" dxfId="0" priority="60" stopIfTrue="1" operator="equal">
      <formula>0</formula>
    </cfRule>
  </conditionalFormatting>
  <conditionalFormatting sqref="I89:I90">
    <cfRule type="cellIs" dxfId="0" priority="90" stopIfTrue="1" operator="equal">
      <formula>0</formula>
    </cfRule>
  </conditionalFormatting>
  <conditionalFormatting sqref="I149:I150">
    <cfRule type="cellIs" dxfId="0" priority="12" stopIfTrue="1" operator="equal">
      <formula>0</formula>
    </cfRule>
  </conditionalFormatting>
  <conditionalFormatting sqref="J37:J38">
    <cfRule type="cellIs" dxfId="0" priority="600" stopIfTrue="1" operator="equal">
      <formula>0</formula>
    </cfRule>
  </conditionalFormatting>
  <conditionalFormatting sqref="J81:J82">
    <cfRule type="cellIs" dxfId="0" priority="867" stopIfTrue="1" operator="equal">
      <formula>0</formula>
    </cfRule>
  </conditionalFormatting>
  <conditionalFormatting sqref="J97:J98">
    <cfRule type="cellIs" dxfId="0" priority="849" stopIfTrue="1" operator="equal">
      <formula>0</formula>
    </cfRule>
  </conditionalFormatting>
  <conditionalFormatting sqref="J124:J125">
    <cfRule type="cellIs" dxfId="0" priority="746" stopIfTrue="1" operator="equal">
      <formula>0</formula>
    </cfRule>
  </conditionalFormatting>
  <conditionalFormatting sqref="J126:J127">
    <cfRule type="cellIs" dxfId="0" priority="745" stopIfTrue="1" operator="equal">
      <formula>0</formula>
    </cfRule>
  </conditionalFormatting>
  <conditionalFormatting sqref="J146:J147">
    <cfRule type="cellIs" dxfId="0" priority="703" stopIfTrue="1" operator="equal">
      <formula>0</formula>
    </cfRule>
  </conditionalFormatting>
  <conditionalFormatting sqref="J149:J150">
    <cfRule type="cellIs" dxfId="0" priority="541" stopIfTrue="1" operator="equal">
      <formula>0</formula>
    </cfRule>
  </conditionalFormatting>
  <conditionalFormatting sqref="J157:J158">
    <cfRule type="cellIs" dxfId="0" priority="706" stopIfTrue="1" operator="equal">
      <formula>0</formula>
    </cfRule>
  </conditionalFormatting>
  <conditionalFormatting sqref="J166:J168">
    <cfRule type="cellIs" dxfId="0" priority="677" stopIfTrue="1" operator="equal">
      <formula>0</formula>
    </cfRule>
  </conditionalFormatting>
  <conditionalFormatting sqref="L28:L29">
    <cfRule type="cellIs" dxfId="0" priority="895" stopIfTrue="1" operator="equal">
      <formula>0</formula>
    </cfRule>
  </conditionalFormatting>
  <conditionalFormatting sqref="F3 G4:H4">
    <cfRule type="cellIs" dxfId="0" priority="514" stopIfTrue="1" operator="equal">
      <formula>0</formula>
    </cfRule>
  </conditionalFormatting>
  <conditionalFormatting sqref="J3:IR4">
    <cfRule type="cellIs" dxfId="0" priority="1149" stopIfTrue="1" operator="equal">
      <formula>0</formula>
    </cfRule>
  </conditionalFormatting>
  <conditionalFormatting sqref="E6 G6 I6">
    <cfRule type="cellIs" dxfId="0" priority="478" stopIfTrue="1" operator="equal">
      <formula>0</formula>
    </cfRule>
  </conditionalFormatting>
  <conditionalFormatting sqref="A7 A15:A16 A19:A24 H25:I25 B206:F206 B207:I65374 B205:I205 I206">
    <cfRule type="cellIs" dxfId="0" priority="515" stopIfTrue="1" operator="equal">
      <formula>0</formula>
    </cfRule>
  </conditionalFormatting>
  <conditionalFormatting sqref="E11 G11 I11">
    <cfRule type="cellIs" dxfId="0" priority="406" stopIfTrue="1" operator="equal">
      <formula>0</formula>
    </cfRule>
  </conditionalFormatting>
  <conditionalFormatting sqref="N11:IR11 J11:K11">
    <cfRule type="cellIs" dxfId="0" priority="1020" stopIfTrue="1" operator="equal">
      <formula>0</formula>
    </cfRule>
  </conditionalFormatting>
  <conditionalFormatting sqref="E12:E13 G12:G13 I12:I13">
    <cfRule type="cellIs" dxfId="0" priority="381" stopIfTrue="1" operator="equal">
      <formula>0</formula>
    </cfRule>
  </conditionalFormatting>
  <conditionalFormatting sqref="J12:J14 L12:IR14">
    <cfRule type="cellIs" dxfId="0" priority="989" stopIfTrue="1" operator="equal">
      <formula>0</formula>
    </cfRule>
  </conditionalFormatting>
  <conditionalFormatting sqref="E14:G14 I14">
    <cfRule type="cellIs" dxfId="0" priority="349" stopIfTrue="1" operator="equal">
      <formula>0</formula>
    </cfRule>
  </conditionalFormatting>
  <conditionalFormatting sqref="E15 G15 I15">
    <cfRule type="cellIs" dxfId="0" priority="510" stopIfTrue="1" operator="equal">
      <formula>0</formula>
    </cfRule>
  </conditionalFormatting>
  <conditionalFormatting sqref="E16 G16">
    <cfRule type="cellIs" dxfId="0" priority="509" stopIfTrue="1" operator="equal">
      <formula>0</formula>
    </cfRule>
  </conditionalFormatting>
  <conditionalFormatting sqref="J16:IR18">
    <cfRule type="cellIs" dxfId="0" priority="1141" stopIfTrue="1" operator="equal">
      <formula>0</formula>
    </cfRule>
  </conditionalFormatting>
  <conditionalFormatting sqref="E17 G17">
    <cfRule type="cellIs" dxfId="0" priority="317" stopIfTrue="1" operator="equal">
      <formula>0</formula>
    </cfRule>
  </conditionalFormatting>
  <conditionalFormatting sqref="E18 G18">
    <cfRule type="cellIs" dxfId="0" priority="314" stopIfTrue="1" operator="equal">
      <formula>0</formula>
    </cfRule>
  </conditionalFormatting>
  <conditionalFormatting sqref="E19:G19 I19">
    <cfRule type="cellIs" dxfId="0" priority="479" stopIfTrue="1" operator="equal">
      <formula>0</formula>
    </cfRule>
  </conditionalFormatting>
  <conditionalFormatting sqref="E20 G20">
    <cfRule type="cellIs" dxfId="0" priority="508" stopIfTrue="1" operator="equal">
      <formula>0</formula>
    </cfRule>
  </conditionalFormatting>
  <conditionalFormatting sqref="E21 G21 I21">
    <cfRule type="cellIs" dxfId="0" priority="360" stopIfTrue="1" operator="equal">
      <formula>0</formula>
    </cfRule>
  </conditionalFormatting>
  <conditionalFormatting sqref="E22:G22 I22">
    <cfRule type="cellIs" dxfId="0" priority="358" stopIfTrue="1" operator="equal">
      <formula>0</formula>
    </cfRule>
  </conditionalFormatting>
  <conditionalFormatting sqref="E23 G23 I23">
    <cfRule type="cellIs" dxfId="0" priority="365" stopIfTrue="1" operator="equal">
      <formula>0</formula>
    </cfRule>
  </conditionalFormatting>
  <conditionalFormatting sqref="E24:G24 I24">
    <cfRule type="cellIs" dxfId="0" priority="477" stopIfTrue="1" operator="equal">
      <formula>0</formula>
    </cfRule>
  </conditionalFormatting>
  <conditionalFormatting sqref="J25:IR25 J205:IR65374">
    <cfRule type="cellIs" dxfId="0" priority="1150" stopIfTrue="1" operator="equal">
      <formula>0</formula>
    </cfRule>
  </conditionalFormatting>
  <conditionalFormatting sqref="A27 E27:G27 I27 A76 A72 A52:A56 A30 A32 A49">
    <cfRule type="cellIs" dxfId="0" priority="507" stopIfTrue="1" operator="equal">
      <formula>0</formula>
    </cfRule>
  </conditionalFormatting>
  <conditionalFormatting sqref="H27 H30:H31 H33 H52 H59:H60 H62 H64:H67 H72:H78">
    <cfRule type="cellIs" dxfId="0" priority="407" stopIfTrue="1" operator="equal">
      <formula>0</formula>
    </cfRule>
  </conditionalFormatting>
  <conditionalFormatting sqref="J27:IR27 M28:IR29">
    <cfRule type="cellIs" dxfId="0" priority="1139" stopIfTrue="1" operator="equal">
      <formula>0</formula>
    </cfRule>
  </conditionalFormatting>
  <conditionalFormatting sqref="E28:G28 I28">
    <cfRule type="cellIs" dxfId="0" priority="298" stopIfTrue="1" operator="equal">
      <formula>0</formula>
    </cfRule>
  </conditionalFormatting>
  <conditionalFormatting sqref="J28:K28 K29">
    <cfRule type="cellIs" dxfId="0" priority="893" stopIfTrue="1" operator="equal">
      <formula>0</formula>
    </cfRule>
  </conditionalFormatting>
  <conditionalFormatting sqref="E29:G29 I29">
    <cfRule type="cellIs" dxfId="0" priority="295" stopIfTrue="1" operator="equal">
      <formula>0</formula>
    </cfRule>
  </conditionalFormatting>
  <conditionalFormatting sqref="E30 G30 I30">
    <cfRule type="cellIs" dxfId="0" priority="505" stopIfTrue="1" operator="equal">
      <formula>0</formula>
    </cfRule>
  </conditionalFormatting>
  <conditionalFormatting sqref="E31 G31 I31">
    <cfRule type="cellIs" dxfId="0" priority="503" stopIfTrue="1" operator="equal">
      <formula>0</formula>
    </cfRule>
  </conditionalFormatting>
  <conditionalFormatting sqref="E32 G32:H32">
    <cfRule type="cellIs" dxfId="0" priority="380" stopIfTrue="1" operator="equal">
      <formula>0</formula>
    </cfRule>
  </conditionalFormatting>
  <conditionalFormatting sqref="E34 G34">
    <cfRule type="cellIs" dxfId="0" priority="375" stopIfTrue="1" operator="equal">
      <formula>0</formula>
    </cfRule>
  </conditionalFormatting>
  <conditionalFormatting sqref="J34:IR35">
    <cfRule type="cellIs" dxfId="0" priority="983" stopIfTrue="1" operator="equal">
      <formula>0</formula>
    </cfRule>
  </conditionalFormatting>
  <conditionalFormatting sqref="E35 G35">
    <cfRule type="cellIs" dxfId="0" priority="345" stopIfTrue="1" operator="equal">
      <formula>0</formula>
    </cfRule>
  </conditionalFormatting>
  <conditionalFormatting sqref="K37:IR38">
    <cfRule type="cellIs" dxfId="0" priority="601" stopIfTrue="1" operator="equal">
      <formula>0</formula>
    </cfRule>
  </conditionalFormatting>
  <conditionalFormatting sqref="E39 I39">
    <cfRule type="cellIs" dxfId="0" priority="403" stopIfTrue="1" operator="equal">
      <formula>0</formula>
    </cfRule>
  </conditionalFormatting>
  <conditionalFormatting sqref="K41:IR42 J39:IR39">
    <cfRule type="cellIs" dxfId="0" priority="1017" stopIfTrue="1" operator="equal">
      <formula>0</formula>
    </cfRule>
  </conditionalFormatting>
  <conditionalFormatting sqref="E40 I40">
    <cfRule type="cellIs" dxfId="0" priority="76" stopIfTrue="1" operator="equal">
      <formula>0</formula>
    </cfRule>
  </conditionalFormatting>
  <conditionalFormatting sqref="E41 I41">
    <cfRule type="cellIs" dxfId="0" priority="82" stopIfTrue="1" operator="equal">
      <formula>0</formula>
    </cfRule>
  </conditionalFormatting>
  <conditionalFormatting sqref="E42 I42">
    <cfRule type="cellIs" dxfId="0" priority="79" stopIfTrue="1" operator="equal">
      <formula>0</formula>
    </cfRule>
  </conditionalFormatting>
  <conditionalFormatting sqref="E43 G43:H43">
    <cfRule type="cellIs" dxfId="0" priority="372" stopIfTrue="1" operator="equal">
      <formula>0</formula>
    </cfRule>
  </conditionalFormatting>
  <conditionalFormatting sqref="E44 G44">
    <cfRule type="cellIs" dxfId="0" priority="385" stopIfTrue="1" operator="equal">
      <formula>0</formula>
    </cfRule>
  </conditionalFormatting>
  <conditionalFormatting sqref="E45 G45">
    <cfRule type="cellIs" dxfId="0" priority="378" stopIfTrue="1" operator="equal">
      <formula>0</formula>
    </cfRule>
  </conditionalFormatting>
  <conditionalFormatting sqref="J45:IR46 K48:IR49">
    <cfRule type="cellIs" dxfId="0" priority="986" stopIfTrue="1" operator="equal">
      <formula>0</formula>
    </cfRule>
  </conditionalFormatting>
  <conditionalFormatting sqref="E46 G46">
    <cfRule type="cellIs" dxfId="0" priority="335" stopIfTrue="1" operator="equal">
      <formula>0</formula>
    </cfRule>
  </conditionalFormatting>
  <conditionalFormatting sqref="E49 H49">
    <cfRule type="cellIs" dxfId="0" priority="309" stopIfTrue="1" operator="equal">
      <formula>0</formula>
    </cfRule>
  </conditionalFormatting>
  <conditionalFormatting sqref="E50 G50:H50">
    <cfRule type="cellIs" dxfId="0" priority="364" stopIfTrue="1" operator="equal">
      <formula>0</formula>
    </cfRule>
  </conditionalFormatting>
  <conditionalFormatting sqref="E51 G51:I51">
    <cfRule type="cellIs" dxfId="0" priority="348" stopIfTrue="1" operator="equal">
      <formula>0</formula>
    </cfRule>
  </conditionalFormatting>
  <conditionalFormatting sqref="E52:G52 I52 I59:I60 E59:G59 E60 G60">
    <cfRule type="cellIs" dxfId="0" priority="499" stopIfTrue="1" operator="equal">
      <formula>0</formula>
    </cfRule>
  </conditionalFormatting>
  <conditionalFormatting sqref="J52 O52:IR56 K57:N57 J59 O59:IR59 J60:IR60">
    <cfRule type="cellIs" dxfId="0" priority="1131" stopIfTrue="1" operator="equal">
      <formula>0</formula>
    </cfRule>
  </conditionalFormatting>
  <conditionalFormatting sqref="J53 J55:J56">
    <cfRule type="cellIs" dxfId="0" priority="887" stopIfTrue="1" operator="equal">
      <formula>0</formula>
    </cfRule>
  </conditionalFormatting>
  <conditionalFormatting sqref="E54 G54 I54">
    <cfRule type="cellIs" dxfId="0" priority="277" stopIfTrue="1" operator="equal">
      <formula>0</formula>
    </cfRule>
  </conditionalFormatting>
  <conditionalFormatting sqref="E55 G55 I55">
    <cfRule type="cellIs" dxfId="0" priority="280" stopIfTrue="1" operator="equal">
      <formula>0</formula>
    </cfRule>
  </conditionalFormatting>
  <conditionalFormatting sqref="E56 G56 I56">
    <cfRule type="cellIs" dxfId="0" priority="283" stopIfTrue="1" operator="equal">
      <formula>0</formula>
    </cfRule>
  </conditionalFormatting>
  <conditionalFormatting sqref="E57 G57 I57">
    <cfRule type="cellIs" dxfId="0" priority="369" stopIfTrue="1" operator="equal">
      <formula>0</formula>
    </cfRule>
  </conditionalFormatting>
  <conditionalFormatting sqref="J57 O57:IR57">
    <cfRule type="cellIs" dxfId="0" priority="974" stopIfTrue="1" operator="equal">
      <formula>0</formula>
    </cfRule>
  </conditionalFormatting>
  <conditionalFormatting sqref="E58 G58 I58">
    <cfRule type="cellIs" dxfId="0" priority="388" stopIfTrue="1" operator="equal">
      <formula>0</formula>
    </cfRule>
  </conditionalFormatting>
  <conditionalFormatting sqref="J58 O58:IR58 K59:N59">
    <cfRule type="cellIs" dxfId="0" priority="999" stopIfTrue="1" operator="equal">
      <formula>0</formula>
    </cfRule>
  </conditionalFormatting>
  <conditionalFormatting sqref="E61:G61 I61">
    <cfRule type="cellIs" dxfId="0" priority="392" stopIfTrue="1" operator="equal">
      <formula>0</formula>
    </cfRule>
  </conditionalFormatting>
  <conditionalFormatting sqref="E62 G62 I62 I64 E64:G64">
    <cfRule type="cellIs" dxfId="0" priority="495" stopIfTrue="1" operator="equal">
      <formula>0</formula>
    </cfRule>
  </conditionalFormatting>
  <conditionalFormatting sqref="J62:IR62 L63:IR63 J64:IR64">
    <cfRule type="cellIs" dxfId="0" priority="1127" stopIfTrue="1" operator="equal">
      <formula>0</formula>
    </cfRule>
  </conditionalFormatting>
  <conditionalFormatting sqref="G63 I63">
    <cfRule type="cellIs" dxfId="0" priority="287" stopIfTrue="1" operator="equal">
      <formula>0</formula>
    </cfRule>
  </conditionalFormatting>
  <conditionalFormatting sqref="E65 G65 I65">
    <cfRule type="cellIs" dxfId="0" priority="492" stopIfTrue="1" operator="equal">
      <formula>0</formula>
    </cfRule>
  </conditionalFormatting>
  <conditionalFormatting sqref="E66:G66 I66">
    <cfRule type="cellIs" dxfId="0" priority="490" stopIfTrue="1" operator="equal">
      <formula>0</formula>
    </cfRule>
  </conditionalFormatting>
  <conditionalFormatting sqref="C67 E67:G67 I67">
    <cfRule type="cellIs" dxfId="0" priority="488" stopIfTrue="1" operator="equal">
      <formula>0</formula>
    </cfRule>
  </conditionalFormatting>
  <conditionalFormatting sqref="E68:G68 I68">
    <cfRule type="cellIs" dxfId="0" priority="305" stopIfTrue="1" operator="equal">
      <formula>0</formula>
    </cfRule>
  </conditionalFormatting>
  <conditionalFormatting sqref="E69 G69 I69">
    <cfRule type="cellIs" dxfId="0" priority="397" stopIfTrue="1" operator="equal">
      <formula>0</formula>
    </cfRule>
  </conditionalFormatting>
  <conditionalFormatting sqref="E70 G70 I70">
    <cfRule type="cellIs" dxfId="0" priority="400" stopIfTrue="1" operator="equal">
      <formula>0</formula>
    </cfRule>
  </conditionalFormatting>
  <conditionalFormatting sqref="E71 G71:I71">
    <cfRule type="cellIs" dxfId="0" priority="405" stopIfTrue="1" operator="equal">
      <formula>0</formula>
    </cfRule>
  </conditionalFormatting>
  <conditionalFormatting sqref="C72 I72 E72:F73">
    <cfRule type="cellIs" dxfId="0" priority="487" stopIfTrue="1" operator="equal">
      <formula>0</formula>
    </cfRule>
  </conditionalFormatting>
  <conditionalFormatting sqref="J72:IR73">
    <cfRule type="cellIs" dxfId="0" priority="1119" stopIfTrue="1" operator="equal">
      <formula>0</formula>
    </cfRule>
  </conditionalFormatting>
  <conditionalFormatting sqref="C74 E74:F75">
    <cfRule type="cellIs" dxfId="0" priority="484" stopIfTrue="1" operator="equal">
      <formula>0</formula>
    </cfRule>
  </conditionalFormatting>
  <conditionalFormatting sqref="J74:IR75">
    <cfRule type="cellIs" dxfId="0" priority="1116" stopIfTrue="1" operator="equal">
      <formula>0</formula>
    </cfRule>
  </conditionalFormatting>
  <conditionalFormatting sqref="E76:E78 G76:G78 I76:I78">
    <cfRule type="cellIs" dxfId="0" priority="426" stopIfTrue="1" operator="equal">
      <formula>0</formula>
    </cfRule>
  </conditionalFormatting>
  <conditionalFormatting sqref="J76:IR78">
    <cfRule type="cellIs" dxfId="0" priority="1042" stopIfTrue="1" operator="equal">
      <formula>0</formula>
    </cfRule>
  </conditionalFormatting>
  <conditionalFormatting sqref="K81:IR83">
    <cfRule type="cellIs" dxfId="0" priority="1105" stopIfTrue="1" operator="equal">
      <formula>0</formula>
    </cfRule>
  </conditionalFormatting>
  <conditionalFormatting sqref="E83 G83 I83">
    <cfRule type="cellIs" dxfId="0" priority="274" stopIfTrue="1" operator="equal">
      <formula>0</formula>
    </cfRule>
  </conditionalFormatting>
  <conditionalFormatting sqref="A84 A101">
    <cfRule type="cellIs" dxfId="0" priority="271" stopIfTrue="1" operator="equal">
      <formula>0</formula>
    </cfRule>
  </conditionalFormatting>
  <conditionalFormatting sqref="E84 G84:H84">
    <cfRule type="cellIs" dxfId="0" priority="260" stopIfTrue="1" operator="equal">
      <formula>0</formula>
    </cfRule>
  </conditionalFormatting>
  <conditionalFormatting sqref="K84:IR87 K89:IR91 K95:IR96">
    <cfRule type="cellIs" dxfId="0" priority="991" stopIfTrue="1" operator="equal">
      <formula>0</formula>
    </cfRule>
  </conditionalFormatting>
  <conditionalFormatting sqref="E86 G86">
    <cfRule type="cellIs" dxfId="0" priority="255" stopIfTrue="1" operator="equal">
      <formula>0</formula>
    </cfRule>
  </conditionalFormatting>
  <conditionalFormatting sqref="J86:J87 J89:J90">
    <cfRule type="cellIs" dxfId="0" priority="846" stopIfTrue="1" operator="equal">
      <formula>0</formula>
    </cfRule>
  </conditionalFormatting>
  <conditionalFormatting sqref="E87 G87 G89:G90">
    <cfRule type="cellIs" dxfId="0" priority="246" stopIfTrue="1" operator="equal">
      <formula>0</formula>
    </cfRule>
  </conditionalFormatting>
  <conditionalFormatting sqref="E91 I91">
    <cfRule type="cellIs" dxfId="0" priority="267" stopIfTrue="1" operator="equal">
      <formula>0</formula>
    </cfRule>
  </conditionalFormatting>
  <conditionalFormatting sqref="E92 I92">
    <cfRule type="cellIs" dxfId="0" priority="39" stopIfTrue="1" operator="equal">
      <formula>0</formula>
    </cfRule>
  </conditionalFormatting>
  <conditionalFormatting sqref="E93 I93">
    <cfRule type="cellIs" dxfId="0" priority="45" stopIfTrue="1" operator="equal">
      <formula>0</formula>
    </cfRule>
  </conditionalFormatting>
  <conditionalFormatting sqref="K93:IR94">
    <cfRule type="cellIs" dxfId="0" priority="573" stopIfTrue="1" operator="equal">
      <formula>0</formula>
    </cfRule>
  </conditionalFormatting>
  <conditionalFormatting sqref="E94 I94">
    <cfRule type="cellIs" dxfId="0" priority="42" stopIfTrue="1" operator="equal">
      <formula>0</formula>
    </cfRule>
  </conditionalFormatting>
  <conditionalFormatting sqref="E95 G95:H95">
    <cfRule type="cellIs" dxfId="0" priority="252" stopIfTrue="1" operator="equal">
      <formula>0</formula>
    </cfRule>
  </conditionalFormatting>
  <conditionalFormatting sqref="E96 G96">
    <cfRule type="cellIs" dxfId="0" priority="263" stopIfTrue="1" operator="equal">
      <formula>0</formula>
    </cfRule>
  </conditionalFormatting>
  <conditionalFormatting sqref="E97 G97">
    <cfRule type="cellIs" dxfId="0" priority="258" stopIfTrue="1" operator="equal">
      <formula>0</formula>
    </cfRule>
  </conditionalFormatting>
  <conditionalFormatting sqref="K97:IR98">
    <cfRule type="cellIs" dxfId="0" priority="965" stopIfTrue="1" operator="equal">
      <formula>0</formula>
    </cfRule>
  </conditionalFormatting>
  <conditionalFormatting sqref="E98 G98">
    <cfRule type="cellIs" dxfId="0" priority="236" stopIfTrue="1" operator="equal">
      <formula>0</formula>
    </cfRule>
  </conditionalFormatting>
  <conditionalFormatting sqref="E101 H101">
    <cfRule type="cellIs" dxfId="0" priority="230" stopIfTrue="1" operator="equal">
      <formula>0</formula>
    </cfRule>
  </conditionalFormatting>
  <conditionalFormatting sqref="E102 G102:H102">
    <cfRule type="cellIs" dxfId="0" priority="250" stopIfTrue="1" operator="equal">
      <formula>0</formula>
    </cfRule>
  </conditionalFormatting>
  <conditionalFormatting sqref="E103 G103:I103">
    <cfRule type="cellIs" dxfId="0" priority="248" stopIfTrue="1" operator="equal">
      <formula>0</formula>
    </cfRule>
  </conditionalFormatting>
  <conditionalFormatting sqref="E104 G104 I104 I111:I112 E111:G111 E112 G112">
    <cfRule type="cellIs" dxfId="0" priority="223" stopIfTrue="1" operator="equal">
      <formula>0</formula>
    </cfRule>
  </conditionalFormatting>
  <conditionalFormatting sqref="H104 H111:H112 H114 H116:H119">
    <cfRule type="cellIs" dxfId="0" priority="211" stopIfTrue="1" operator="equal">
      <formula>0</formula>
    </cfRule>
  </conditionalFormatting>
  <conditionalFormatting sqref="J104 J111:J112">
    <cfRule type="cellIs" dxfId="0" priority="812" stopIfTrue="1" operator="equal">
      <formula>0</formula>
    </cfRule>
  </conditionalFormatting>
  <conditionalFormatting sqref="K104:IR115 K117:IR118">
    <cfRule type="cellIs" dxfId="0" priority="1104" stopIfTrue="1" operator="equal">
      <formula>0</formula>
    </cfRule>
  </conditionalFormatting>
  <conditionalFormatting sqref="J105 J107:J108">
    <cfRule type="cellIs" dxfId="0" priority="776" stopIfTrue="1" operator="equal">
      <formula>0</formula>
    </cfRule>
  </conditionalFormatting>
  <conditionalFormatting sqref="E106 G106 I106">
    <cfRule type="cellIs" dxfId="0" priority="174" stopIfTrue="1" operator="equal">
      <formula>0</formula>
    </cfRule>
  </conditionalFormatting>
  <conditionalFormatting sqref="E107 G107 I107">
    <cfRule type="cellIs" dxfId="0" priority="177" stopIfTrue="1" operator="equal">
      <formula>0</formula>
    </cfRule>
  </conditionalFormatting>
  <conditionalFormatting sqref="E108 G108 I108">
    <cfRule type="cellIs" dxfId="0" priority="180" stopIfTrue="1" operator="equal">
      <formula>0</formula>
    </cfRule>
  </conditionalFormatting>
  <conditionalFormatting sqref="E109 G109 I109">
    <cfRule type="cellIs" dxfId="0" priority="196" stopIfTrue="1" operator="equal">
      <formula>0</formula>
    </cfRule>
  </conditionalFormatting>
  <conditionalFormatting sqref="E110 G110 I110">
    <cfRule type="cellIs" dxfId="0" priority="199" stopIfTrue="1" operator="equal">
      <formula>0</formula>
    </cfRule>
  </conditionalFormatting>
  <conditionalFormatting sqref="E113:G113 I113">
    <cfRule type="cellIs" dxfId="0" priority="202" stopIfTrue="1" operator="equal">
      <formula>0</formula>
    </cfRule>
  </conditionalFormatting>
  <conditionalFormatting sqref="E114 G114 I114 I116 E116:G116">
    <cfRule type="cellIs" dxfId="0" priority="219" stopIfTrue="1" operator="equal">
      <formula>0</formula>
    </cfRule>
  </conditionalFormatting>
  <conditionalFormatting sqref="J114 J116">
    <cfRule type="cellIs" dxfId="0" priority="808" stopIfTrue="1" operator="equal">
      <formula>0</formula>
    </cfRule>
  </conditionalFormatting>
  <conditionalFormatting sqref="G115 I115">
    <cfRule type="cellIs" dxfId="0" priority="184" stopIfTrue="1" operator="equal">
      <formula>0</formula>
    </cfRule>
  </conditionalFormatting>
  <conditionalFormatting sqref="E117 G117 I117">
    <cfRule type="cellIs" dxfId="0" priority="216" stopIfTrue="1" operator="equal">
      <formula>0</formula>
    </cfRule>
  </conditionalFormatting>
  <conditionalFormatting sqref="E118:G118 I118">
    <cfRule type="cellIs" dxfId="0" priority="214" stopIfTrue="1" operator="equal">
      <formula>0</formula>
    </cfRule>
  </conditionalFormatting>
  <conditionalFormatting sqref="C119 E119:G119 I119">
    <cfRule type="cellIs" dxfId="0" priority="212" stopIfTrue="1" operator="equal">
      <formula>0</formula>
    </cfRule>
  </conditionalFormatting>
  <conditionalFormatting sqref="E120:G120 I120">
    <cfRule type="cellIs" dxfId="0" priority="192" stopIfTrue="1" operator="equal">
      <formula>0</formula>
    </cfRule>
  </conditionalFormatting>
  <conditionalFormatting sqref="K120:IR120 K122:IR122">
    <cfRule type="cellIs" dxfId="0" priority="1103" stopIfTrue="1" operator="equal">
      <formula>0</formula>
    </cfRule>
  </conditionalFormatting>
  <conditionalFormatting sqref="E121 G121 I121">
    <cfRule type="cellIs" dxfId="0" priority="205" stopIfTrue="1" operator="equal">
      <formula>0</formula>
    </cfRule>
  </conditionalFormatting>
  <conditionalFormatting sqref="E122 G122 I122">
    <cfRule type="cellIs" dxfId="0" priority="208" stopIfTrue="1" operator="equal">
      <formula>0</formula>
    </cfRule>
  </conditionalFormatting>
  <conditionalFormatting sqref="E123 G123:I123">
    <cfRule type="cellIs" dxfId="0" priority="210" stopIfTrue="1" operator="equal">
      <formula>0</formula>
    </cfRule>
  </conditionalFormatting>
  <conditionalFormatting sqref="C124 I124 E124:F125">
    <cfRule type="cellIs" dxfId="0" priority="170" stopIfTrue="1" operator="equal">
      <formula>0</formula>
    </cfRule>
  </conditionalFormatting>
  <conditionalFormatting sqref="K124:IR125">
    <cfRule type="cellIs" dxfId="0" priority="1101" stopIfTrue="1" operator="equal">
      <formula>0</formula>
    </cfRule>
  </conditionalFormatting>
  <conditionalFormatting sqref="C126 E126:F127">
    <cfRule type="cellIs" dxfId="0" priority="167" stopIfTrue="1" operator="equal">
      <formula>0</formula>
    </cfRule>
  </conditionalFormatting>
  <conditionalFormatting sqref="K126:IR127">
    <cfRule type="cellIs" dxfId="0" priority="1100" stopIfTrue="1" operator="equal">
      <formula>0</formula>
    </cfRule>
  </conditionalFormatting>
  <conditionalFormatting sqref="E130:E132 G130:G132 I130:I132">
    <cfRule type="cellIs" dxfId="0" priority="428" stopIfTrue="1" operator="equal">
      <formula>0</formula>
    </cfRule>
  </conditionalFormatting>
  <conditionalFormatting sqref="J130:IR132">
    <cfRule type="cellIs" dxfId="0" priority="1044" stopIfTrue="1" operator="equal">
      <formula>0</formula>
    </cfRule>
  </conditionalFormatting>
  <conditionalFormatting sqref="A135 E135 G135:I135 A163:A168 A144 A137:A139">
    <cfRule type="cellIs" dxfId="0" priority="473" stopIfTrue="1" operator="equal">
      <formula>0</formula>
    </cfRule>
  </conditionalFormatting>
  <conditionalFormatting sqref="J135:IR136">
    <cfRule type="cellIs" dxfId="0" priority="1095" stopIfTrue="1" operator="equal">
      <formula>0</formula>
    </cfRule>
  </conditionalFormatting>
  <conditionalFormatting sqref="E136 G136:I136">
    <cfRule type="cellIs" dxfId="0" priority="159" stopIfTrue="1" operator="equal">
      <formula>0</formula>
    </cfRule>
  </conditionalFormatting>
  <conditionalFormatting sqref="E137:E138 G137:G138 I137:I138">
    <cfRule type="cellIs" dxfId="0" priority="356" stopIfTrue="1" operator="equal">
      <formula>0</formula>
    </cfRule>
  </conditionalFormatting>
  <conditionalFormatting sqref="J137:IR138">
    <cfRule type="cellIs" dxfId="0" priority="955" stopIfTrue="1" operator="equal">
      <formula>0</formula>
    </cfRule>
  </conditionalFormatting>
  <conditionalFormatting sqref="E139 G139 I139">
    <cfRule type="cellIs" dxfId="0" priority="149" stopIfTrue="1" operator="equal">
      <formula>0</formula>
    </cfRule>
  </conditionalFormatting>
  <conditionalFormatting sqref="E140 G140 I140">
    <cfRule type="cellIs" dxfId="0" priority="147" stopIfTrue="1" operator="equal">
      <formula>0</formula>
    </cfRule>
  </conditionalFormatting>
  <conditionalFormatting sqref="E141 H141">
    <cfRule type="cellIs" dxfId="0" priority="138" stopIfTrue="1" operator="equal">
      <formula>0</formula>
    </cfRule>
  </conditionalFormatting>
  <conditionalFormatting sqref="K141:IR143">
    <cfRule type="cellIs" dxfId="0" priority="1091" stopIfTrue="1" operator="equal">
      <formula>0</formula>
    </cfRule>
  </conditionalFormatting>
  <conditionalFormatting sqref="E142 G142:H142">
    <cfRule type="cellIs" dxfId="0" priority="143" stopIfTrue="1" operator="equal">
      <formula>0</formula>
    </cfRule>
  </conditionalFormatting>
  <conditionalFormatting sqref="E143 G143:I143">
    <cfRule type="cellIs" dxfId="0" priority="141" stopIfTrue="1" operator="equal">
      <formula>0</formula>
    </cfRule>
  </conditionalFormatting>
  <conditionalFormatting sqref="E144 G144:H144">
    <cfRule type="cellIs" dxfId="0" priority="128" stopIfTrue="1" operator="equal">
      <formula>0</formula>
    </cfRule>
  </conditionalFormatting>
  <conditionalFormatting sqref="E145 G145">
    <cfRule type="cellIs" dxfId="0" priority="134" stopIfTrue="1" operator="equal">
      <formula>0</formula>
    </cfRule>
  </conditionalFormatting>
  <conditionalFormatting sqref="E146 G146">
    <cfRule type="cellIs" dxfId="0" priority="123" stopIfTrue="1" operator="equal">
      <formula>0</formula>
    </cfRule>
  </conditionalFormatting>
  <conditionalFormatting sqref="K146:IR147 K155:IR158 K160:IR160">
    <cfRule type="cellIs" dxfId="0" priority="1007" stopIfTrue="1" operator="equal">
      <formula>0</formula>
    </cfRule>
  </conditionalFormatting>
  <conditionalFormatting sqref="E147 G147">
    <cfRule type="cellIs" dxfId="0" priority="118" stopIfTrue="1" operator="equal">
      <formula>0</formula>
    </cfRule>
  </conditionalFormatting>
  <conditionalFormatting sqref="K149:IR150">
    <cfRule type="cellIs" dxfId="0" priority="542" stopIfTrue="1" operator="equal">
      <formula>0</formula>
    </cfRule>
  </conditionalFormatting>
  <conditionalFormatting sqref="E151 I151">
    <cfRule type="cellIs" dxfId="0" priority="35" stopIfTrue="1" operator="equal">
      <formula>0</formula>
    </cfRule>
  </conditionalFormatting>
  <conditionalFormatting sqref="K153:IR154 J151:IR151">
    <cfRule type="cellIs" dxfId="0" priority="559" stopIfTrue="1" operator="equal">
      <formula>0</formula>
    </cfRule>
  </conditionalFormatting>
  <conditionalFormatting sqref="E152 I152">
    <cfRule type="cellIs" dxfId="0" priority="23" stopIfTrue="1" operator="equal">
      <formula>0</formula>
    </cfRule>
  </conditionalFormatting>
  <conditionalFormatting sqref="E153 I153">
    <cfRule type="cellIs" dxfId="0" priority="29" stopIfTrue="1" operator="equal">
      <formula>0</formula>
    </cfRule>
  </conditionalFormatting>
  <conditionalFormatting sqref="E154 I154">
    <cfRule type="cellIs" dxfId="0" priority="26" stopIfTrue="1" operator="equal">
      <formula>0</formula>
    </cfRule>
  </conditionalFormatting>
  <conditionalFormatting sqref="E155 G155:H155">
    <cfRule type="cellIs" dxfId="0" priority="120" stopIfTrue="1" operator="equal">
      <formula>0</formula>
    </cfRule>
  </conditionalFormatting>
  <conditionalFormatting sqref="E156 G156">
    <cfRule type="cellIs" dxfId="0" priority="131" stopIfTrue="1" operator="equal">
      <formula>0</formula>
    </cfRule>
  </conditionalFormatting>
  <conditionalFormatting sqref="E157 G157">
    <cfRule type="cellIs" dxfId="0" priority="126" stopIfTrue="1" operator="equal">
      <formula>0</formula>
    </cfRule>
  </conditionalFormatting>
  <conditionalFormatting sqref="E158 G158">
    <cfRule type="cellIs" dxfId="0" priority="108" stopIfTrue="1" operator="equal">
      <formula>0</formula>
    </cfRule>
  </conditionalFormatting>
  <conditionalFormatting sqref="E162:G162 I162">
    <cfRule type="cellIs" dxfId="0" priority="471" stopIfTrue="1" operator="equal">
      <formula>0</formula>
    </cfRule>
  </conditionalFormatting>
  <conditionalFormatting sqref="E163:G163 I163">
    <cfRule type="cellIs" dxfId="0" priority="467" stopIfTrue="1" operator="equal">
      <formula>0</formula>
    </cfRule>
  </conditionalFormatting>
  <conditionalFormatting sqref="E164:G165">
    <cfRule type="cellIs" dxfId="0" priority="326" stopIfTrue="1" operator="equal">
      <formula>0</formula>
    </cfRule>
  </conditionalFormatting>
  <conditionalFormatting sqref="J164:IR165">
    <cfRule type="cellIs" dxfId="0" priority="923" stopIfTrue="1" operator="equal">
      <formula>0</formula>
    </cfRule>
  </conditionalFormatting>
  <conditionalFormatting sqref="E166 G166 E167:G167 E168 G168 I166:I168">
    <cfRule type="cellIs" dxfId="0" priority="427" stopIfTrue="1" operator="equal">
      <formula>0</formula>
    </cfRule>
  </conditionalFormatting>
  <conditionalFormatting sqref="K166:IR168">
    <cfRule type="cellIs" dxfId="0" priority="1043" stopIfTrue="1" operator="equal">
      <formula>0</formula>
    </cfRule>
  </conditionalFormatting>
  <conditionalFormatting sqref="H169:I170">
    <cfRule type="cellIs" dxfId="0" priority="468" stopIfTrue="1" operator="equal">
      <formula>0</formula>
    </cfRule>
  </conditionalFormatting>
  <conditionalFormatting sqref="J169:IR170">
    <cfRule type="cellIs" dxfId="0" priority="1087" stopIfTrue="1" operator="equal">
      <formula>0</formula>
    </cfRule>
  </conditionalFormatting>
  <conditionalFormatting sqref="A173 E173:G173">
    <cfRule type="cellIs" dxfId="0" priority="461" stopIfTrue="1" operator="equal">
      <formula>0</formula>
    </cfRule>
  </conditionalFormatting>
  <conditionalFormatting sqref="I179 I182">
    <cfRule type="cellIs" dxfId="0" priority="446" stopIfTrue="1" operator="equal">
      <formula>0</formula>
    </cfRule>
  </conditionalFormatting>
  <conditionalFormatting sqref="E197 G197 I197">
    <cfRule type="cellIs" dxfId="0" priority="424" stopIfTrue="1" operator="equal">
      <formula>0</formula>
    </cfRule>
  </conditionalFormatting>
  <conditionalFormatting sqref="A198:B199 E198:I198">
    <cfRule type="cellIs" dxfId="0" priority="423" stopIfTrue="1" operator="equal">
      <formula>0</formula>
    </cfRule>
  </conditionalFormatting>
  <conditionalFormatting sqref="B202:C202 E202">
    <cfRule type="cellIs" dxfId="0" priority="417" stopIfTrue="1" operator="equal">
      <formula>0</formula>
    </cfRule>
  </conditionalFormatting>
  <conditionalFormatting sqref="G202 I202">
    <cfRule type="cellIs" dxfId="0" priority="418" stopIfTrue="1" operator="equal">
      <formula>0</formula>
    </cfRule>
  </conditionalFormatting>
  <conditionalFormatting sqref="B204:C204 E204">
    <cfRule type="cellIs" dxfId="0" priority="411" stopIfTrue="1" operator="equal">
      <formula>0</formula>
    </cfRule>
  </conditionalFormatting>
  <conditionalFormatting sqref="G204 I204">
    <cfRule type="cellIs" dxfId="0" priority="412" stopIfTrue="1" operator="equal">
      <formula>0</formula>
    </cfRule>
  </conditionalFormatting>
  <printOptions horizontalCentered="1"/>
  <pageMargins left="0.432638888888889" right="0.393055555555556" top="0.354166666666667" bottom="0.393055555555556" header="0.275" footer="0.196527777777778"/>
  <pageSetup paperSize="9" scale="88" orientation="landscape" horizontalDpi="600"/>
  <headerFooter>
    <oddFooter>&amp;L编制日期:&amp;D共&amp;N页  第&amp;P页&amp;C嘉兴山屿装饰设计有限公司&amp;R客户签名:______________</oddFooter>
  </headerFooter>
  <colBreaks count="1" manualBreakCount="1">
    <brk id="9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半包报价模板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ChenDi</dc:creator>
  <cp:lastModifiedBy>lulu</cp:lastModifiedBy>
  <dcterms:created xsi:type="dcterms:W3CDTF">2026-08-30T16:43:00Z</dcterms:created>
  <dcterms:modified xsi:type="dcterms:W3CDTF">2026-09-19T10:38:20Z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38364FDF36F526B727059D6A08ED315C_43</vt:lpwstr>
  </property>
  <property fmtid="{D5CDD505-2E9C-101B-9397-08002B2CF9AE}" pid="3" name="KSOProductBuildVer">
    <vt:lpwstr>2052-7.2.2.8955</vt:lpwstr>
  </property>
</Properties>
</file>